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D:\SALES\AKRAM HAkim\وزارة الحج\1448\خطة العمل\"/>
    </mc:Choice>
  </mc:AlternateContent>
  <xr:revisionPtr revIDLastSave="0" documentId="8_{1B96670C-03CF-4604-BE65-F7A010D773BA}" xr6:coauthVersionLast="47" xr6:coauthVersionMax="47" xr10:uidLastSave="{00000000-0000-0000-0000-000000000000}"/>
  <bookViews>
    <workbookView xWindow="-28920" yWindow="1710" windowWidth="29040" windowHeight="15720" xr2:uid="{099A638C-0703-4BC6-A38D-325AEB99329F}"/>
  </bookViews>
  <sheets>
    <sheet name="Sheet2" sheetId="1" r:id="rId1"/>
    <sheet name="Dashboard" sheetId="2" r:id="rId2"/>
  </sheets>
  <definedNames>
    <definedName name="_xlnm._FilterDatabase" localSheetId="0" hidden="1">Sheet2!$A$36:$M$42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L30" i="1"/>
  <c r="M30" i="1"/>
  <c r="N30" i="1" a="1"/>
  <c r="N30" i="1"/>
  <c r="L35" i="1"/>
  <c r="M35" i="1"/>
  <c r="N35" i="1" a="1"/>
  <c r="N35" i="1"/>
  <c r="L34" i="1"/>
  <c r="M34" i="1"/>
  <c r="N34" i="1" a="1"/>
  <c r="N34" i="1"/>
  <c r="L33" i="1"/>
  <c r="M33" i="1"/>
  <c r="N33" i="1" a="1"/>
  <c r="N33" i="1"/>
  <c r="L5" i="1"/>
  <c r="M5" i="1"/>
  <c r="N5" i="1" a="1"/>
  <c r="N5" i="1"/>
  <c r="L32" i="1"/>
  <c r="M32" i="1"/>
  <c r="N32" i="1" a="1"/>
  <c r="N32" i="1"/>
  <c r="N31" i="1" a="1"/>
  <c r="N31" i="1"/>
  <c r="M31" i="1"/>
  <c r="L31" i="1"/>
  <c r="N29" i="1" a="1"/>
  <c r="N29" i="1"/>
  <c r="M29" i="1"/>
  <c r="L29" i="1"/>
  <c r="N28" i="1" a="1"/>
  <c r="N28" i="1"/>
  <c r="M28" i="1"/>
  <c r="L28" i="1"/>
  <c r="G13" i="2"/>
  <c r="G39" i="2"/>
  <c r="G34" i="2"/>
  <c r="G29" i="2"/>
  <c r="G41" i="2"/>
  <c r="E41" i="2"/>
  <c r="C41" i="2"/>
  <c r="A41" i="2"/>
  <c r="G36" i="2"/>
  <c r="E36" i="2"/>
  <c r="C36" i="2"/>
  <c r="A36" i="2"/>
  <c r="G31" i="2"/>
  <c r="E31" i="2"/>
  <c r="C31" i="2"/>
  <c r="A31" i="2"/>
  <c r="A20" i="2" a="1"/>
  <c r="A20" i="2"/>
  <c r="E13" i="2"/>
  <c r="C13" i="2"/>
  <c r="A13" i="2"/>
  <c r="G9" i="2"/>
  <c r="E9" i="2"/>
  <c r="C9" i="2"/>
  <c r="A9" i="2"/>
  <c r="B20" i="2" a="1"/>
  <c r="B20" i="2"/>
  <c r="L10" i="1"/>
  <c r="M10" i="1"/>
  <c r="N10" i="1" a="1"/>
  <c r="N10" i="1"/>
  <c r="L15" i="1"/>
  <c r="M15" i="1"/>
  <c r="N15" i="1" a="1"/>
  <c r="N15" i="1"/>
  <c r="N4" i="1" a="1"/>
  <c r="N4" i="1"/>
  <c r="N6" i="1" a="1"/>
  <c r="N6" i="1"/>
  <c r="N7" i="1" a="1"/>
  <c r="N7" i="1"/>
  <c r="N8" i="1" a="1"/>
  <c r="N8" i="1"/>
  <c r="N9" i="1" a="1"/>
  <c r="N9" i="1"/>
  <c r="N12" i="1" a="1"/>
  <c r="N12" i="1"/>
  <c r="N13" i="1" a="1"/>
  <c r="N13" i="1"/>
  <c r="N14" i="1" a="1"/>
  <c r="N14" i="1"/>
  <c r="N16" i="1" a="1"/>
  <c r="N16" i="1"/>
  <c r="N17" i="1" a="1"/>
  <c r="N17" i="1"/>
  <c r="N18" i="1" a="1"/>
  <c r="N18" i="1"/>
  <c r="N19" i="1" a="1"/>
  <c r="N19" i="1"/>
  <c r="N20" i="1" a="1"/>
  <c r="N20" i="1"/>
  <c r="N21" i="1" a="1"/>
  <c r="N21" i="1"/>
  <c r="N11" i="1" a="1"/>
  <c r="N11" i="1"/>
  <c r="N22" i="1" a="1"/>
  <c r="N22" i="1"/>
  <c r="N23" i="1" a="1"/>
  <c r="N23" i="1"/>
  <c r="N24" i="1" a="1"/>
  <c r="N24" i="1"/>
  <c r="N25" i="1" a="1"/>
  <c r="N25" i="1"/>
  <c r="N26" i="1" a="1"/>
  <c r="N26" i="1"/>
  <c r="N3" i="1" a="1"/>
  <c r="N3" i="1"/>
  <c r="A1" i="1"/>
  <c r="G5" i="2"/>
  <c r="C5" i="2"/>
  <c r="A2" i="2"/>
  <c r="M3" i="1"/>
  <c r="L4" i="1"/>
  <c r="M4" i="1"/>
  <c r="L6" i="1"/>
  <c r="M6" i="1"/>
  <c r="L7" i="1"/>
  <c r="M7" i="1"/>
  <c r="L8" i="1"/>
  <c r="M8" i="1"/>
  <c r="L9" i="1"/>
  <c r="M9" i="1"/>
  <c r="L12" i="1"/>
  <c r="M12" i="1"/>
  <c r="L13" i="1"/>
  <c r="M13" i="1"/>
  <c r="L14" i="1"/>
  <c r="M14" i="1"/>
  <c r="L16" i="1"/>
  <c r="M16" i="1"/>
  <c r="L17" i="1"/>
  <c r="M17" i="1"/>
  <c r="L18" i="1"/>
  <c r="M18" i="1"/>
  <c r="L19" i="1"/>
  <c r="M19" i="1"/>
  <c r="L20" i="1"/>
  <c r="M20" i="1"/>
  <c r="L21" i="1"/>
  <c r="M21" i="1"/>
  <c r="L11" i="1"/>
  <c r="M11" i="1"/>
  <c r="L22" i="1"/>
  <c r="M22" i="1"/>
  <c r="L23" i="1"/>
  <c r="M23" i="1"/>
  <c r="L24" i="1"/>
  <c r="M24" i="1"/>
  <c r="L25" i="1"/>
  <c r="M25" i="1"/>
  <c r="L26" i="1"/>
  <c r="M26" i="1"/>
  <c r="L3" i="1"/>
  <c r="E5" i="2" l="1"/>
  <c r="C16" i="2"/>
  <c r="C20" i="2" l="1" a="1"/>
  <c r="C2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<sst xmlns="http://schemas.openxmlformats.org/spreadsheetml/2006/main" count="435" uniqueCount="209">
  <si>
    <t>#</t>
  </si>
  <si>
    <t>المهمة</t>
  </si>
  <si>
    <t>مسار إدارة المشروع</t>
  </si>
  <si>
    <t>كود المسار</t>
  </si>
  <si>
    <t>الوصف</t>
  </si>
  <si>
    <t>المسؤول</t>
  </si>
  <si>
    <t>الحالة</t>
  </si>
  <si>
    <t>تاريخ الرصد (هجري)</t>
  </si>
  <si>
    <t>تاريخ الاستحقاق (هجري)</t>
  </si>
  <si>
    <t>مصدر المهمة</t>
  </si>
  <si>
    <t>التحديث</t>
  </si>
  <si>
    <t>تاريخ الرصد (ميلادي)</t>
  </si>
  <si>
    <t>تاريخ الاستحقاق (ميلادي)</t>
  </si>
  <si>
    <t>فئة الاستحقاق</t>
  </si>
  <si>
    <t>توقف المهمة</t>
  </si>
  <si>
    <t xml:space="preserve">اجتماع الاحد </t>
  </si>
  <si>
    <t>اجتماع الاربعاء</t>
  </si>
  <si>
    <t>النموذج المعدني للتثبيت (عرفات)</t>
  </si>
  <si>
    <t>الحلول التقنية والتحقق الفني</t>
  </si>
  <si>
    <t>PM-03</t>
  </si>
  <si>
    <t>رسم النموذج القياسي للهيكل (دعامات، عوارض، أبعاد، أحمال، جلفنة) وربط متطلباته بمتطلبات كدانة السابقة، ليُصنَّع مرة ويُكرَّر عند كل نقطة دخول</t>
  </si>
  <si>
    <t>أفاقي</t>
  </si>
  <si>
    <t>مكتمل</t>
  </si>
  <si>
    <t>الوزارة</t>
  </si>
  <si>
    <t>افاقى ارسلت على الجروب و الايميل ليتم التعميم على الشركات و الاعتماد كدانة و الدفاع المدني عن طريق الوزارة</t>
  </si>
  <si>
    <t>حساسات البيئة</t>
  </si>
  <si>
    <t>PM-04</t>
  </si>
  <si>
    <t>اعتماد نوع الأجهزة والحسسات التي سيتم التنفيذ بها بعد تقرير مهندس اياز</t>
  </si>
  <si>
    <t>قيد الانتظار</t>
  </si>
  <si>
    <t>في إنتظار الاعتماد بعد الاختبارفي الموقع الاخر وتقرير م اياز</t>
  </si>
  <si>
    <t>التأكيد فى اجتماع الأحد</t>
  </si>
  <si>
    <t>تركيب  POC الحساسات بموقع ربوة منى</t>
  </si>
  <si>
    <t>التنفيذ والتشغيل الميداني</t>
  </si>
  <si>
    <t>PM-06</t>
  </si>
  <si>
    <t>النزول فى الميدان مع المهندس اياز و تركيب ال  POC فى مخيمات ربوة مني</t>
  </si>
  <si>
    <t xml:space="preserve">تم التركيب </t>
  </si>
  <si>
    <t>النزول للمشاعر و استخراج التصاريح</t>
  </si>
  <si>
    <t>جاهزية المواقع والتنسيق الميداني</t>
  </si>
  <si>
    <t>PM-02</t>
  </si>
  <si>
    <t>استخراج التصاريح لنزول الفرق الميدان و مراجعة كافة النقاط الخاصة بموسم 1448</t>
  </si>
  <si>
    <t>أفاقي + الوزارة</t>
  </si>
  <si>
    <t>سيتم تحديد كافة المناطق بعد الاجتماع مع المهندس مجدى لعمل خطة مسح لكل الماطق والان يتم مناقشة عمل برنامج لتنسيق المسح لكافة النقاط و جدولتها بطريقة تسمح للوزارة بالمتابعة</t>
  </si>
  <si>
    <t>تم البدء فى المسح الميدانى</t>
  </si>
  <si>
    <t>المسح الميداني (كاميرات الوزارة)</t>
  </si>
  <si>
    <t>زيارة مواقع الكاميرات المثبتة التابعة للوزارة بمشعر منى والمواقع الأخرى وكذلك المواقع المستهدفة للتركيبات الجديدة</t>
  </si>
  <si>
    <t>بعد المراجعة والتدقيق، تم الرد على البريد وتوضيح البيانات المطلوبة لاستكمال تحديث الـ KMZ، وتشمل بيانات كاميرات LPR الـ17 بمواقع النوارية، بالإضافة إلى حدود ومواقع المناطق المطلوب تغطيتها في الزايدي ومركز الهجرة. بانتظار استلام البيانات</t>
  </si>
  <si>
    <t>المسح الميداني (قارئات)</t>
  </si>
  <si>
    <t>زيارة كل موقع لتحديد مستلزمات التركيب واعداد الأجهزة المطلوبة و رصد المواقع التي تتطلب مستلزمات خاصة في التركيب إن وجدت</t>
  </si>
  <si>
    <t>قيد التنفيذ</t>
  </si>
  <si>
    <t>تم بداية المسح الميداني بتاريخ 8-9-2026</t>
  </si>
  <si>
    <t>محاكاة بيئة منى مع المصانع</t>
  </si>
  <si>
    <t>الاعتماد الفني</t>
  </si>
  <si>
    <t>التواصل مع المصانع لشرح بيئة العمل واهمية المشروع للوصول لافضل اداء باقل تكلفة</t>
  </si>
  <si>
    <t>جاري التنسيق لعقد اجتماعات مكثفة خلال الأسبوع القادم لشرح بيئة التشغيل ومتطلبات المشروع، بهدف تحديد Vendor قادر على تلبية المتطلبات</t>
  </si>
  <si>
    <t xml:space="preserve">اجتماع الرياض الاسبوع القادم </t>
  </si>
  <si>
    <t>تصنيع وتركيب الPOC للهيكل المعدني بعرفات</t>
  </si>
  <si>
    <t>تنفيذ وتركيب الهيكل المعدني لاعتماده لدي كدانة والدفاع المدني والزام مزودي الخدمة بالتنفيذ</t>
  </si>
  <si>
    <t>جاري العمل</t>
  </si>
  <si>
    <t>تم التواصل جهة لتنفيذ الهيكل المعدني، وسيتم إبلاغكم بموعد التركيب فور الانتهاء من تجهيزه</t>
  </si>
  <si>
    <t>سيتم متابعته الاحد القادم</t>
  </si>
  <si>
    <t>تأكيد وجود كهرباء مستمرة عند عمل  POC فى مخيمات مني</t>
  </si>
  <si>
    <t>التأكيد ع وحود كهرباء لتوصيل حساسات البيئة</t>
  </si>
  <si>
    <t>تم تحديد موقع ربوة منى لعمل التجارب و وجود كهرباء مستمرة بناء على افادة مهندس منشى</t>
  </si>
  <si>
    <t>تسليم عينة من منظومة  قارئات نسك لإدارة التفويج (الدكتور وسام)</t>
  </si>
  <si>
    <t>تسليم عيّنة تشغيلية متكاملة (قارئ + هوائيات + كاميرا عدّ + راوتر) للمعاينة الفنية وبناء القرار عليها. تم تجهيز المطلوب وفي انتظار تحديد موعد التسليم من إدارة التفويج</t>
  </si>
  <si>
    <t>أفاقي + إدارة التفويج</t>
  </si>
  <si>
    <t>تم تسليم العينة و الملفات الموضحة لكل المشروع بتغييراته بناء على توجيهاتكم</t>
  </si>
  <si>
    <t>ملف الأسئلة لمتابعة المهام بالاكشن بلان</t>
  </si>
  <si>
    <t>التخطيط والحوكمة</t>
  </si>
  <si>
    <t>PM-01</t>
  </si>
  <si>
    <t>توحيد كل النقاط المفتوحة في مستند واحد، كملف مهام موحد يتم المتابعة عليه</t>
  </si>
  <si>
    <t>يتم ارسال ملف المتابعة يوميا بكافة الملاحظات و التفاصيل المطلوبة لذا يرجى متابعته يوميا عند ارساله و ايفادنا بالملاحظات لحين الاجتماع</t>
  </si>
  <si>
    <t>خطة العمل التفصيلية + خطة العمل الشهرية</t>
  </si>
  <si>
    <t>يتم دراسة عمل خطة كاملة مفصلة للمشروع مع توضيح نقاط الدعم المطلوبة</t>
  </si>
  <si>
    <t>تم إعداد الخطة المبدئية وإرسالها للمناقشة، على أن يتم اعتماد تواريخها بناءً على موعد تخصيص المخيمات واعتماد كراسة الشروط</t>
  </si>
  <si>
    <t xml:space="preserve"> خطة العمل الشهرية</t>
  </si>
  <si>
    <t xml:space="preserve">يتم عمل خطة شهرية لاخر شهر اغسطس </t>
  </si>
  <si>
    <t>تحليل السيناريوهات لموسم 1447 (تفصيل اليوزر كيس)</t>
  </si>
  <si>
    <t xml:space="preserve">تم ارسال ملف بالدروس المستفادة متضمنة السيناريوهات المختلفة علي ارض الواقع وتأثيرها علي دقة البيانات بموسم 1447 </t>
  </si>
  <si>
    <t>تم ارسال الملف من قبل و رجاء فتحه من هنا مرة اخري</t>
  </si>
  <si>
    <t>نقل المنصة</t>
  </si>
  <si>
    <t>المنصة والبيانات والتكامل</t>
  </si>
  <si>
    <t>PM-05</t>
  </si>
  <si>
    <t xml:space="preserve">تم تحديد البيئة المستهدفة وارسال البيانات المطلوبة لفريق علم مع أسماء المخولين بالولوج الي الخوادم بمركز معلومات الحج </t>
  </si>
  <si>
    <t xml:space="preserve">افادة مهندسي شركة علم تم الانتهاء من البنية التحتية والمستخدمين وفي انتظارارسال ميل بالتفاصيل المطلوبة </t>
  </si>
  <si>
    <t>سيتم بدء المراحل المتقدمة للنقل</t>
  </si>
  <si>
    <t>متوقف عن افاقي في انتظار التحديث الاسبوع الثادم</t>
  </si>
  <si>
    <t>نقل وتخزين تسجيلات كاميرات موسم 1447 مع الثيرد بارتى</t>
  </si>
  <si>
    <t>تسليم التسجيلات المطلوبة للمراجعة الفنية للشركة المرشحة لهذه المهمة من قبل الوزارة</t>
  </si>
  <si>
    <t xml:space="preserve">سيتم عمل اجتماع اخرمع الثيرد بارتي </t>
  </si>
  <si>
    <t>م مجدي</t>
  </si>
  <si>
    <t>تحديد الدقة وتحسينها</t>
  </si>
  <si>
    <t>تحسين قرائات القارئات والكاميرات الخاصة بالمنظومة لرفع دقة البيانات بموسم 1448</t>
  </si>
  <si>
    <t xml:space="preserve">تم عمل تحديثات على كاميرات و قارئات لتحسين الكفاءة و الدقه و منها تجارب على ايجاد ال  regional counting </t>
  </si>
  <si>
    <t>سيتم مشاركة تقرير فى اجتماع الاربعاء</t>
  </si>
  <si>
    <t>جمع المتطلبات و تطوير المنصات</t>
  </si>
  <si>
    <t>يتم عمل تصور مبدئي من افاقى لعرضه على الوزارة</t>
  </si>
  <si>
    <t>تم اعداد ملف الدراسة الاستضاحية للمنصة وارساله</t>
  </si>
  <si>
    <t xml:space="preserve">يوم الاربعاء </t>
  </si>
  <si>
    <t xml:space="preserve">سيتم ارساله اليوم </t>
  </si>
  <si>
    <t>عمل نظام داخلى لادارة المشروع كاملا</t>
  </si>
  <si>
    <t>مناقشة عمل نظام داخلى لادارة الزيارات و متابعة التركيبات</t>
  </si>
  <si>
    <t xml:space="preserve">يتم مناقشة العمل على نظام داخلى ليغطى نطاق العمل بالكامل من اول زيارة الموقع حتى الانتهاء من التركيب و التسليم و الفك </t>
  </si>
  <si>
    <t xml:space="preserve">ارسال بيانات ال  vendor للحساسات </t>
  </si>
  <si>
    <t>ارسال اى  vendor من الوزارة لتجربة اجهزته و عمل تقرير مفصل بالحالة التشغيلية</t>
  </si>
  <si>
    <t xml:space="preserve">تم ارسال عرض السعر من ال  vendor المقترح من الوزارة و سيتم التواصل معه خلال هذا الاسبوع </t>
  </si>
  <si>
    <t>بيانات الأبواب الرئيسية لمخيمات عرفات للموسم 1447</t>
  </si>
  <si>
    <t>هل يوجد جداول تفويح و كيف يتم التفويج وتحديد ابواب الرئيسة للمخيمات  بعرفات</t>
  </si>
  <si>
    <t xml:space="preserve">تم ارسالها وجاري العمل عليها </t>
  </si>
  <si>
    <t>يوم الاربعاء</t>
  </si>
  <si>
    <t>سيتم مشاركة البيانت للموسم 1447</t>
  </si>
  <si>
    <t xml:space="preserve">مواعيد   تخصيص المخيمات للشركات </t>
  </si>
  <si>
    <t>تخصيص مخيمات منى و عرفات و تأكيد متطلبات العمل لتشغيل منظومة قارئات نسك قبل الموعد المحدد لكى يتم الانتهاء من المشروع فى الموعد المحدد</t>
  </si>
  <si>
    <t>فى انتظار الانتهاء ليتم عمل خطة كاملة تفصيلية</t>
  </si>
  <si>
    <t xml:space="preserve">سيتم التخصيص في شهر ذي القعدة </t>
  </si>
  <si>
    <t>ارسال فريق للدوام من مبنى الوزارة</t>
  </si>
  <si>
    <t>ارسال ظباط الاتصال للعمل فى المشروع من مبنى الوزارة و الدوام كليا هناك</t>
  </si>
  <si>
    <t>اجتماع مع فريق كدانة لتحديد بعض النقاط فى مني و عرفات</t>
  </si>
  <si>
    <t>اجتماع مع كدانة لتحديد اماكن المظلات الموسم القادم مع امكانية العمل فى المخيمات بدون التخبط فى مشاريع اخري مثل مشروع اللوحات (نحو منى)</t>
  </si>
  <si>
    <t xml:space="preserve"> سيتم عمل تقرير الاستشاري بعد الزيارة الميدانية للمواقع وتحديد نقاط الدعم المطلوبة من فريق كدانة </t>
  </si>
  <si>
    <t>واقف عند افاقي ( فريق المسح الميداني )</t>
  </si>
  <si>
    <t xml:space="preserve">يتم عمل تقرير الاستشاري بعد الزيارة الميدانية </t>
  </si>
  <si>
    <t xml:space="preserve">ٍيتم عمل اجتماع يوم الاربعاء القادم </t>
  </si>
  <si>
    <t xml:space="preserve">تقسيم المهام الى مسارات </t>
  </si>
  <si>
    <t xml:space="preserve"> تقسيم جميع المهام الى مسارات رئيسية</t>
  </si>
  <si>
    <t>تم الانتهاء من تقسيم المسارات</t>
  </si>
  <si>
    <t xml:space="preserve">ملف ال use casesالخاص بالتشغيل الفعلي </t>
  </si>
  <si>
    <t xml:space="preserve">عمل ملف يوضح المشاكل الى اثرت على دقة قراءة البطاقات خلال التشغيل الفعلي </t>
  </si>
  <si>
    <t xml:space="preserve">تم الارسال على مجموعة الواتس اب </t>
  </si>
  <si>
    <t xml:space="preserve">غدا </t>
  </si>
  <si>
    <t xml:space="preserve">اعادة تركيب الحساسات بموقع اخر </t>
  </si>
  <si>
    <t>اعادة التركيب فى مخيم اخر لمقارنة البيانات بالتنسيق مع مهندس اياز</t>
  </si>
  <si>
    <t xml:space="preserve">في انتظارتصريح الدخول والأعمال الميدانية  وتحديد المخيم المراد و رقم التواصل مع ظابط الاتصال ان وجد </t>
  </si>
  <si>
    <t xml:space="preserve">خلال الاسبوع </t>
  </si>
  <si>
    <t>النزول يوم الاحد مع المهندس اياز</t>
  </si>
  <si>
    <t>ملف use cases  الخاص بالمنصة وكيفية معالجتها</t>
  </si>
  <si>
    <t>عمل ملف يوضح المشاكل الى اثرت على دقة قراءة البطاقات من النظام</t>
  </si>
  <si>
    <t>تم الإرسال على مجموعة الواتس اب</t>
  </si>
  <si>
    <t>سيتم ارسال اليوم</t>
  </si>
  <si>
    <t xml:space="preserve">خطة تفصيلية بملف اكسل من الوزارة </t>
  </si>
  <si>
    <t>مشاركة  ملف اكسل بالخطة بناء على  template الوزارة</t>
  </si>
  <si>
    <t>خطة تفصيلية بملف اكسل من افاقى</t>
  </si>
  <si>
    <t>مشاركة ملف مبدئى من افاقى</t>
  </si>
  <si>
    <t>النموذج الإبداعي الخاص بالقارئات</t>
  </si>
  <si>
    <t>الرد على  ايميل النموذج الإبداعي الخاص بالقارئات</t>
  </si>
  <si>
    <t>تم ارسال على جروب الواتس اب</t>
  </si>
  <si>
    <t xml:space="preserve">الشواهد والمتطلبات المطلوبة </t>
  </si>
  <si>
    <t xml:space="preserve">الرد على  ايميل الشواهد والمتطلبات المطلوبة </t>
  </si>
  <si>
    <t xml:space="preserve">مراجعة تقرير د وسام </t>
  </si>
  <si>
    <t>إعداد ملف يوضح نقاط النقاط التأيد ونقاط الإعتراض وارساله للوزارة</t>
  </si>
  <si>
    <t xml:space="preserve">اجتماع مبدائي غدا </t>
  </si>
  <si>
    <t>بيانات الأبواب الرئيسية لمخيمات عرفات للموسم 1448</t>
  </si>
  <si>
    <t xml:space="preserve">سيتم ارسال بيانات الأبواب الرئيسية للمخيمات من قبل م محمد منشي </t>
  </si>
  <si>
    <t>التواصل مع فريق تحليل البيانات د/حاتم (داش بورد)</t>
  </si>
  <si>
    <t xml:space="preserve">مناقشة تحديات الخاصة بال dashboared للموسم السابق </t>
  </si>
  <si>
    <t>علم</t>
  </si>
  <si>
    <t>التواصل مع فريق تحليل البيانات د/ حاتم (البنية الرقمية و متطلباتها)</t>
  </si>
  <si>
    <t xml:space="preserve">مناقشة طلبات الموسم القادم </t>
  </si>
  <si>
    <t>خلال هذا الاسبوع</t>
  </si>
  <si>
    <t>خلال الاسبوع القادم</t>
  </si>
  <si>
    <t>مراجعة ملف الدراسة الإستضاحية للمنصة</t>
  </si>
  <si>
    <t xml:space="preserve">سيتم مراجعتها من قبل م احمد </t>
  </si>
  <si>
    <t>إنشاء ملف BRD مبدأي</t>
  </si>
  <si>
    <t>تجهيز ملف يوضح التصور الكامل لمتطلبات المشروع</t>
  </si>
  <si>
    <t xml:space="preserve">تحديد اماكن للمخيمات ونقاط الممرات لعمل الفرضيات المستمرة خلال فترة المشروع </t>
  </si>
  <si>
    <t xml:space="preserve">تحديد نقط الفرضيات المستمرة خلال  فترة المشروع لسهولة الوصول </t>
  </si>
  <si>
    <t>عرض الواجهات figma</t>
  </si>
  <si>
    <t>تصميم Prototype للمنصة على Figma، يشمل الواجهات الرئيسية وتدفق المستخدم بين الصفحات، بهدف تقديم تصور واضح لشكل المنصة وطريقة عملها.</t>
  </si>
  <si>
    <t>يتم الان عمل ال  figma</t>
  </si>
  <si>
    <t xml:space="preserve">اعدادت الحساسات + نماذج الحساسات لMilesight </t>
  </si>
  <si>
    <t>إعدادات حساسات Milesight وتجهيز نماذج الحساسات المطلوبة.</t>
  </si>
  <si>
    <t>مراجعة ملف BRD المرسل</t>
  </si>
  <si>
    <t>مراجعة ملف BRD المرسل والتأكد من اكتمال المتطلبات والبيانات الواردة فيه.</t>
  </si>
  <si>
    <t xml:space="preserve">تم الإرسال وفي انتظار المراجعة من قبل الوزارة </t>
  </si>
  <si>
    <t>يوم الخميس المقبل</t>
  </si>
  <si>
    <t xml:space="preserve">مشاركة عناصر خطة العمل المتكاملة </t>
  </si>
  <si>
    <t>مشاركة عناصر الخطة قبل تعبئتها لضمان توافق المخرج النهائي مع المتطلبات</t>
  </si>
  <si>
    <t>يتم مشاركته الاجتماع المقبل</t>
  </si>
  <si>
    <t>اصدرا تصاريح الجمرات والقطار</t>
  </si>
  <si>
    <t>البيزنس الخاص بعرفات لتوزيع نقاط الممرات</t>
  </si>
  <si>
    <t>تحديد موعد مع الدكتور وسام لحالات الاسخدام للقارئات فى المشاعر المقدسة كاملة</t>
  </si>
  <si>
    <t>بوابة دخول مخيم فى عرفات لتركيب الاطار المعدنى</t>
  </si>
  <si>
    <t>التكامل مع منصة نسك مسار</t>
  </si>
  <si>
    <t>مراجعة ملف المخيمات الخاص بمني  B2B</t>
  </si>
  <si>
    <t>عمل اجتماع مع المهندس صالح شرباط لمناقشة و مراجعة بيانات الملف</t>
  </si>
  <si>
    <t>لوحة متابعة المهام</t>
  </si>
  <si>
    <t>المؤشرات العامة</t>
  </si>
  <si>
    <t>إجمالي المهام</t>
  </si>
  <si>
    <t>المهام المكتملة</t>
  </si>
  <si>
    <t>قيد التنفيذ / الانتظار</t>
  </si>
  <si>
    <t>متأخرة عن الاستحقاق</t>
  </si>
  <si>
    <t>مؤشرات الاستحقاق القريب — لا تشمل المهام المكتملة</t>
  </si>
  <si>
    <t>مستحق اليوم</t>
  </si>
  <si>
    <t>مستحق غدًا</t>
  </si>
  <si>
    <t>باقي هذا الأسبوع</t>
  </si>
  <si>
    <t>الأسبوع القادم</t>
  </si>
  <si>
    <t>مؤشرات الاستحقاق الأبعد — لا تشمل المهام المكتملة</t>
  </si>
  <si>
    <t>باقي هذا الشهر</t>
  </si>
  <si>
    <t>الشهر القادم</t>
  </si>
  <si>
    <t>ما بعد الشهر القادم</t>
  </si>
  <si>
    <t>بدون تاريخ استحقاق</t>
  </si>
  <si>
    <t>نسبة الإنجاز</t>
  </si>
  <si>
    <t>توزيع المهام حسب الحالة</t>
  </si>
  <si>
    <t>العدد</t>
  </si>
  <si>
    <t>النسبة</t>
  </si>
  <si>
    <t>بطاقات الجهات — المهمة المشتركة تُحتسب لكل جهة مشاركة فيها</t>
  </si>
  <si>
    <t>مهام مكتملة</t>
  </si>
  <si>
    <t>تنتهي هذا الأسبوع</t>
  </si>
  <si>
    <t>تنتهى خلال الشهر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</si>
</sst>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60401]dddd\،\ d\ mmmm\ yyyy"/>
    <numFmt numFmtId="166" formatCode="0.0%"/>
  </numFmts>
  <fonts count="25">
    <font>
      <sz val="11"/>
      <color theme="1"/>
      <name val="Arial"/>
      <family val="2"/>
      <scheme val="minor"/>
    </font>
    <font>
      <sz val="10"/>
      <color rgb="FFFFFFFF"/>
      <name val="Alexandria"/>
    </font>
    <font>
      <sz val="10"/>
      <color rgb="FF000000"/>
      <name val="Alexandria"/>
    </font>
    <font>
      <sz val="18"/>
      <color rgb="FFFFFFFF"/>
      <name val="Alexandria"/>
    </font>
    <font>
      <b/>
      <sz val="18"/>
      <color rgb="FFFFFFFF"/>
      <name val="Alexandria"/>
    </font>
    <font>
      <b/>
      <sz val="12"/>
      <color theme="1"/>
      <name val="Arial"/>
      <family val="2"/>
      <scheme val="minor"/>
    </font>
    <font>
      <b/>
      <sz val="13"/>
      <color rgb="FFFFFFFF"/>
      <name val="Arial"/>
    </font>
    <font>
      <b/>
      <sz val="28"/>
      <color rgb="FFFFFFFF"/>
      <name val="Arial"/>
    </font>
    <font>
      <b/>
      <sz val="14"/>
      <color theme="1"/>
      <name val="Arial"/>
      <family val="2"/>
      <scheme val="minor"/>
    </font>
    <font>
      <b/>
      <sz val="12"/>
      <color rgb="FFFFFFFF"/>
      <name val="Arial"/>
      <family val="2"/>
      <scheme val="minor"/>
    </font>
    <font>
      <u/>
      <sz val="11"/>
      <color theme="10"/>
      <name val="Arial"/>
      <family val="2"/>
      <scheme val="minor"/>
    </font>
    <font>
      <b/>
      <sz val="20"/>
      <color rgb="FFFFFFFF"/>
      <name val="Alexandria"/>
    </font>
    <font>
      <b/>
      <sz val="11"/>
      <color theme="1"/>
      <name val="Arial"/>
      <family val="2"/>
      <scheme val="minor"/>
    </font>
    <font>
      <b/>
      <sz val="13"/>
      <color rgb="FFFFFFFF"/>
      <name val="Arial"/>
      <family val="2"/>
      <scheme val="minor"/>
    </font>
    <font>
      <b/>
      <sz val="14"/>
      <color rgb="FFFFFFFF"/>
      <name val="Arial"/>
      <family val="2"/>
      <scheme val="minor"/>
    </font>
    <font>
      <b/>
      <sz val="12"/>
      <color rgb="FFFFFFFF"/>
      <name val="Arial"/>
    </font>
    <font>
      <sz val="14"/>
      <color theme="1"/>
      <name val="Arial"/>
      <family val="2"/>
      <scheme val="minor"/>
    </font>
    <font>
      <b/>
      <sz val="24"/>
      <color rgb="FFFFFFFF"/>
      <name val="Arial"/>
    </font>
    <font>
      <sz val="24"/>
      <color theme="1"/>
      <name val="Arial"/>
      <family val="2"/>
      <scheme val="minor"/>
    </font>
    <font>
      <sz val="28"/>
      <color theme="0"/>
      <name val="Arial"/>
      <family val="2"/>
      <scheme val="minor"/>
    </font>
    <font>
      <b/>
      <sz val="28"/>
      <color theme="0"/>
      <name val="Arial"/>
      <family val="2"/>
      <scheme val="minor"/>
    </font>
    <font>
      <b/>
      <sz val="28"/>
      <color theme="0"/>
      <name val="Arial"/>
    </font>
    <font>
      <sz val="26"/>
      <color theme="0"/>
      <name val="Arial"/>
      <family val="2"/>
      <scheme val="minor"/>
    </font>
    <font>
      <b/>
      <sz val="26"/>
      <color theme="0"/>
      <name val="Arial"/>
    </font>
    <font>
      <b/>
      <sz val="11"/>
      <color theme="0"/>
      <name val="Arial"/>
      <family val="2"/>
      <scheme val="minor"/>
    </font>
  </fonts>
  <fills count="23">
    <fill>
      <patternFill patternType="none"/>
    </fill>
    <fill>
      <patternFill patternType="gray125"/>
    </fill>
    <fill>
      <patternFill patternType="solid">
        <fgColor rgb="FF0A4653"/>
        <bgColor indexed="64"/>
      </patternFill>
    </fill>
    <fill>
      <patternFill patternType="solid">
        <fgColor rgb="FFF4EEE8"/>
        <bgColor indexed="64"/>
      </patternFill>
    </fill>
    <fill>
      <patternFill patternType="solid">
        <fgColor rgb="FFD7A562"/>
        <bgColor indexed="64"/>
      </patternFill>
    </fill>
    <fill>
      <patternFill patternType="solid">
        <fgColor rgb="FF00B050"/>
        <bgColor indexed="64"/>
      </patternFill>
    </fill>
    <fill>
      <patternFill patternType="solid">
        <fgColor rgb="FF1F4E78"/>
        <bgColor indexed="64"/>
      </patternFill>
    </fill>
    <fill>
      <patternFill patternType="solid">
        <fgColor rgb="FF70AD47"/>
        <bgColor indexed="64"/>
      </patternFill>
    </fill>
    <fill>
      <patternFill patternType="solid">
        <fgColor rgb="FF5B9BD5"/>
        <bgColor indexed="64"/>
      </patternFill>
    </fill>
    <fill>
      <patternFill patternType="solid">
        <fgColor rgb="FFED7D31"/>
        <bgColor indexed="64"/>
      </patternFill>
    </fill>
    <fill>
      <patternFill patternType="solid">
        <fgColor rgb="FFA5A5A5"/>
        <bgColor indexed="64"/>
      </patternFill>
    </fill>
    <fill>
      <patternFill patternType="solid">
        <fgColor rgb="FF8064A2"/>
        <bgColor indexed="64"/>
      </patternFill>
    </fill>
    <fill>
      <patternFill patternType="solid">
        <fgColor rgb="FFD9EAF7"/>
        <bgColor indexed="64"/>
      </patternFill>
    </fill>
    <fill>
      <patternFill patternType="solid">
        <fgColor rgb="FFBF8F00"/>
        <bgColor indexed="64"/>
      </patternFill>
    </fill>
    <fill>
      <patternFill patternType="solid">
        <fgColor rgb="FFC00000"/>
        <bgColor indexed="64"/>
      </patternFill>
    </fill>
    <fill>
      <patternFill patternType="solid">
        <fgColor theme="4" tint="-0.249977111117893"/>
        <bgColor indexed="64"/>
      </patternFill>
    </fill>
    <fill>
      <patternFill patternType="solid">
        <fgColor rgb="FFC55A11"/>
        <bgColor indexed="64"/>
      </patternFill>
    </fill>
    <fill>
      <patternFill patternType="solid">
        <fgColor rgb="FF2E75B6"/>
        <bgColor indexed="64"/>
      </patternFill>
    </fill>
    <fill>
      <patternFill patternType="solid">
        <fgColor rgb="FF7F6000"/>
        <bgColor indexed="64"/>
      </patternFill>
    </fill>
    <fill>
      <patternFill patternType="solid">
        <fgColor rgb="FF808080"/>
        <bgColor indexed="64"/>
      </patternFill>
    </fill>
    <fill>
      <patternFill patternType="solid">
        <fgColor rgb="FFF4EEE8"/>
        <bgColor rgb="FF000000"/>
      </patternFill>
    </fill>
    <fill>
      <patternFill patternType="solid">
        <fgColor rgb="FFBF8F00"/>
        <bgColor rgb="FF000000"/>
      </patternFill>
    </fill>
    <fill>
      <patternFill patternType="solid">
        <fgColor rgb="FFFFFF00"/>
        <bgColor indexed="64"/>
      </patternFill>
    </fill>
  </fills>
  <borders count="9">
    <border>
      <left/>
      <right/>
      <top/>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top/>
      <bottom style="medium">
        <color rgb="FFFFFFFF"/>
      </bottom>
      <diagonal/>
    </border>
  </borders>
  <cellStyleXfs count="2">
    <xf numFmtId="0" fontId="0" fillId="0" borderId="0"/>
    <xf numFmtId="0" fontId="10" fillId="0" borderId="0" applyNumberFormat="0" applyFill="0" applyBorder="0" applyAlignment="0" applyProtection="0"/>
  </cellStyleXfs>
  <cellXfs count="90">
    <xf numFmtId="0" fontId="0" fillId="0" borderId="0" xfId="0"/>
    <xf numFmtId="0" fontId="2" fillId="3" borderId="4" xfId="0" applyFont="1" applyFill="1" applyBorder="1" applyAlignment="1">
      <alignment horizontal="center" vertical="center" wrapText="1" readingOrder="2"/>
    </xf>
    <xf numFmtId="0" fontId="2" fillId="3" borderId="4" xfId="0" applyFont="1" applyFill="1" applyBorder="1" applyAlignment="1">
      <alignment horizontal="center" vertical="center" wrapText="1" readingOrder="1"/>
    </xf>
    <xf numFmtId="0" fontId="1" fillId="4" borderId="4" xfId="0" applyFont="1" applyFill="1" applyBorder="1" applyAlignment="1">
      <alignment horizontal="center" vertical="center" wrapText="1" readingOrder="2"/>
    </xf>
    <xf numFmtId="0" fontId="2" fillId="3" borderId="5" xfId="0" applyFont="1" applyFill="1" applyBorder="1" applyAlignment="1">
      <alignment horizontal="center" vertical="center" wrapText="1" readingOrder="1"/>
    </xf>
    <xf numFmtId="0" fontId="1" fillId="5" borderId="4" xfId="0" applyFont="1" applyFill="1" applyBorder="1" applyAlignment="1">
      <alignment horizontal="center" vertical="center" wrapText="1" readingOrder="2"/>
    </xf>
    <xf numFmtId="0" fontId="2" fillId="3" borderId="7" xfId="0" applyFont="1" applyFill="1" applyBorder="1" applyAlignment="1">
      <alignment horizontal="center" vertical="center" wrapText="1" readingOrder="1"/>
    </xf>
    <xf numFmtId="0" fontId="0" fillId="0" borderId="0" xfId="0" applyAlignment="1">
      <alignment horizontal="center" vertical="center"/>
    </xf>
    <xf numFmtId="164" fontId="0" fillId="0" borderId="0" xfId="0" applyNumberFormat="1" applyAlignment="1">
      <alignment horizontal="center" vertical="center"/>
    </xf>
    <xf numFmtId="0" fontId="3" fillId="2" borderId="1"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164" fontId="3" fillId="2" borderId="2" xfId="0" applyNumberFormat="1" applyFont="1" applyFill="1" applyBorder="1" applyAlignment="1">
      <alignment horizontal="center" vertical="center" wrapText="1" readingOrder="2"/>
    </xf>
    <xf numFmtId="0" fontId="3" fillId="2" borderId="3" xfId="0" applyFont="1" applyFill="1" applyBorder="1" applyAlignment="1">
      <alignment horizontal="center" vertical="center" wrapText="1" readingOrder="2"/>
    </xf>
    <xf numFmtId="0" fontId="2" fillId="3" borderId="5" xfId="0" applyFont="1" applyFill="1" applyBorder="1" applyAlignment="1">
      <alignment horizontal="center" vertical="center" wrapText="1" indent="2" readingOrder="2"/>
    </xf>
    <xf numFmtId="0" fontId="0" fillId="0" borderId="0" xfId="0" applyAlignment="1">
      <alignment horizontal="center" vertical="center" wrapText="1" readingOrder="2"/>
    </xf>
    <xf numFmtId="0" fontId="4" fillId="2" borderId="2" xfId="0" applyFont="1" applyFill="1" applyBorder="1" applyAlignment="1">
      <alignment horizontal="center" vertical="center" wrapText="1" readingOrder="2"/>
    </xf>
    <xf numFmtId="165" fontId="2" fillId="3" borderId="4" xfId="0" applyNumberFormat="1" applyFont="1" applyFill="1" applyBorder="1" applyAlignment="1">
      <alignment horizontal="center" vertical="center" wrapText="1" readingOrder="1"/>
    </xf>
    <xf numFmtId="165" fontId="2" fillId="3" borderId="4" xfId="0" applyNumberFormat="1" applyFont="1" applyFill="1" applyBorder="1" applyAlignment="1">
      <alignment horizontal="center" vertical="center" wrapText="1" readingOrder="2"/>
    </xf>
    <xf numFmtId="0" fontId="10" fillId="3" borderId="5" xfId="1" applyFill="1" applyBorder="1" applyAlignment="1">
      <alignment horizontal="center" vertical="center" wrapText="1" readingOrder="1"/>
    </xf>
    <xf numFmtId="0" fontId="4" fillId="2" borderId="4" xfId="0" applyFont="1" applyFill="1" applyBorder="1" applyAlignment="1">
      <alignment horizontal="center" vertical="center" wrapText="1" readingOrder="2"/>
    </xf>
    <xf numFmtId="164" fontId="3" fillId="2" borderId="3" xfId="0" applyNumberFormat="1" applyFont="1" applyFill="1" applyBorder="1" applyAlignment="1">
      <alignment horizontal="center" vertical="center" wrapText="1" readingOrder="2"/>
    </xf>
    <xf numFmtId="0" fontId="0" fillId="0" borderId="0" xfId="0" applyAlignment="1">
      <alignment horizontal="center" vertical="center" wrapText="1"/>
    </xf>
    <xf numFmtId="0" fontId="4" fillId="2" borderId="1" xfId="0" applyFont="1" applyFill="1" applyBorder="1" applyAlignment="1">
      <alignment horizontal="center" vertical="center" wrapText="1" readingOrder="2"/>
    </xf>
    <xf numFmtId="0" fontId="12" fillId="12" borderId="0" xfId="0" applyFont="1" applyFill="1" applyAlignment="1">
      <alignment horizontal="center" vertical="center"/>
    </xf>
    <xf numFmtId="166" fontId="0" fillId="0" borderId="0" xfId="0" applyNumberFormat="1" applyAlignment="1">
      <alignment horizontal="center" vertical="center"/>
    </xf>
    <xf numFmtId="0" fontId="2" fillId="3" borderId="6" xfId="0" applyFont="1" applyFill="1" applyBorder="1" applyAlignment="1">
      <alignment vertical="center" wrapText="1" readingOrder="2"/>
    </xf>
    <xf numFmtId="0" fontId="2" fillId="3" borderId="5" xfId="0" applyFont="1" applyFill="1" applyBorder="1" applyAlignment="1">
      <alignment horizontal="center" vertical="center" wrapText="1" readingOrder="2"/>
    </xf>
    <xf numFmtId="0" fontId="1" fillId="21" borderId="4" xfId="0" applyFont="1" applyFill="1" applyBorder="1" applyAlignment="1">
      <alignment wrapText="1" readingOrder="2"/>
    </xf>
    <xf numFmtId="0" fontId="2" fillId="20" borderId="4" xfId="0" applyFont="1" applyFill="1" applyBorder="1" applyAlignment="1">
      <alignment horizontal="center" wrapText="1" readingOrder="2"/>
    </xf>
    <xf numFmtId="0" fontId="2" fillId="3" borderId="6" xfId="0" applyFont="1" applyFill="1" applyBorder="1" applyAlignment="1">
      <alignment horizontal="center" vertical="center" wrapText="1" readingOrder="2"/>
    </xf>
    <xf numFmtId="0" fontId="2" fillId="20" borderId="4" xfId="0" applyFont="1" applyFill="1" applyBorder="1" applyAlignment="1">
      <alignment horizontal="center" vertical="center" wrapText="1" readingOrder="2"/>
    </xf>
    <xf numFmtId="0" fontId="10" fillId="3" borderId="6" xfId="1" applyFill="1" applyBorder="1" applyAlignment="1">
      <alignment horizontal="center" vertical="center" wrapText="1" readingOrder="2"/>
    </xf>
    <xf numFmtId="0" fontId="10" fillId="3" borderId="7" xfId="1" applyFill="1" applyBorder="1" applyAlignment="1">
      <alignment horizontal="center" vertical="center" wrapText="1" readingOrder="1"/>
    </xf>
    <xf numFmtId="165" fontId="2" fillId="22" borderId="4" xfId="0" applyNumberFormat="1"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2"/>
    </xf>
    <xf numFmtId="0" fontId="24" fillId="2" borderId="0" xfId="0" applyFont="1" applyFill="1" applyAlignment="1">
      <alignment horizontal="center" vertical="center"/>
    </xf>
    <xf numFmtId="0" fontId="24" fillId="0" borderId="0" xfId="0" applyFont="1" applyAlignment="1">
      <alignment horizontal="center" vertical="center"/>
    </xf>
    <xf numFmtId="0" fontId="6" fillId="14" borderId="0" xfId="0" applyFont="1" applyFill="1" applyAlignment="1">
      <alignment horizontal="center" vertical="center"/>
    </xf>
    <xf numFmtId="0" fontId="0" fillId="0" borderId="0" xfId="0" applyAlignment="1">
      <alignment horizontal="center" vertical="center"/>
    </xf>
    <xf numFmtId="3" fontId="7" fillId="14" borderId="0" xfId="0" applyNumberFormat="1" applyFont="1" applyFill="1" applyAlignment="1">
      <alignment horizontal="center" vertical="center"/>
    </xf>
    <xf numFmtId="166" fontId="8" fillId="3" borderId="0" xfId="0" applyNumberFormat="1" applyFont="1" applyFill="1" applyAlignment="1">
      <alignment horizontal="center" vertical="center"/>
    </xf>
    <xf numFmtId="0" fontId="6" fillId="8" borderId="0" xfId="0" applyFont="1" applyFill="1" applyAlignment="1">
      <alignment horizontal="center" vertical="center" wrapText="1"/>
    </xf>
    <xf numFmtId="0" fontId="6" fillId="8" borderId="0" xfId="0" applyFont="1" applyFill="1" applyAlignment="1">
      <alignment horizontal="center" vertical="center"/>
    </xf>
    <xf numFmtId="3" fontId="20" fillId="8" borderId="0" xfId="0" applyNumberFormat="1" applyFont="1" applyFill="1" applyAlignment="1">
      <alignment horizontal="center" vertical="center"/>
    </xf>
    <xf numFmtId="0" fontId="5" fillId="12" borderId="0" xfId="0" applyFont="1" applyFill="1" applyAlignment="1">
      <alignment horizontal="center" vertical="center"/>
    </xf>
    <xf numFmtId="0" fontId="6" fillId="9" borderId="0" xfId="0" applyFont="1" applyFill="1" applyAlignment="1">
      <alignment horizontal="center" vertical="center" wrapText="1"/>
    </xf>
    <xf numFmtId="0" fontId="6" fillId="9" borderId="0" xfId="0" applyFont="1" applyFill="1" applyAlignment="1">
      <alignment horizontal="center" vertical="center"/>
    </xf>
    <xf numFmtId="3" fontId="19" fillId="9" borderId="0" xfId="0" applyNumberFormat="1" applyFont="1" applyFill="1" applyAlignment="1">
      <alignment horizontal="center" vertical="center"/>
    </xf>
    <xf numFmtId="3" fontId="21" fillId="9" borderId="0" xfId="0" applyNumberFormat="1" applyFont="1" applyFill="1" applyAlignment="1">
      <alignment horizontal="center" vertical="center"/>
    </xf>
    <xf numFmtId="0" fontId="6" fillId="16" borderId="0" xfId="0" applyFont="1" applyFill="1" applyAlignment="1">
      <alignment horizontal="center" vertical="center" wrapText="1"/>
    </xf>
    <xf numFmtId="0" fontId="6" fillId="10" borderId="0" xfId="0" applyFont="1" applyFill="1" applyAlignment="1">
      <alignment horizontal="center" vertical="center"/>
    </xf>
    <xf numFmtId="3" fontId="19" fillId="16" borderId="0" xfId="0" applyNumberFormat="1" applyFont="1" applyFill="1" applyAlignment="1">
      <alignment horizontal="center" vertical="center"/>
    </xf>
    <xf numFmtId="3" fontId="21" fillId="10" borderId="0" xfId="0" applyNumberFormat="1" applyFont="1" applyFill="1" applyAlignment="1">
      <alignment horizontal="center" vertical="center"/>
    </xf>
    <xf numFmtId="0" fontId="6" fillId="10" borderId="0" xfId="0" applyFont="1" applyFill="1" applyAlignment="1">
      <alignment horizontal="center" vertical="center" wrapText="1"/>
    </xf>
    <xf numFmtId="0" fontId="6" fillId="11" borderId="0" xfId="0" applyFont="1" applyFill="1" applyAlignment="1">
      <alignment horizontal="center" vertical="center"/>
    </xf>
    <xf numFmtId="3" fontId="22" fillId="10" borderId="0" xfId="0" applyNumberFormat="1" applyFont="1" applyFill="1" applyAlignment="1">
      <alignment horizontal="center" vertical="center"/>
    </xf>
    <xf numFmtId="3" fontId="23" fillId="11" borderId="0" xfId="0" applyNumberFormat="1" applyFont="1" applyFill="1" applyAlignment="1">
      <alignment horizontal="center" vertical="center"/>
    </xf>
    <xf numFmtId="3" fontId="19" fillId="15" borderId="0" xfId="0" applyNumberFormat="1" applyFont="1" applyFill="1" applyAlignment="1">
      <alignment horizontal="center" vertical="center"/>
    </xf>
    <xf numFmtId="0" fontId="19" fillId="15" borderId="0" xfId="0" applyFont="1" applyFill="1" applyAlignment="1">
      <alignment horizontal="center" vertical="center"/>
    </xf>
    <xf numFmtId="0" fontId="6" fillId="7" borderId="0" xfId="0" applyFont="1" applyFill="1" applyAlignment="1">
      <alignment horizontal="center" vertical="center"/>
    </xf>
    <xf numFmtId="3" fontId="7" fillId="7" borderId="0" xfId="0" applyNumberFormat="1" applyFont="1" applyFill="1" applyAlignment="1">
      <alignment horizontal="center" vertical="center"/>
    </xf>
    <xf numFmtId="3" fontId="7" fillId="13" borderId="0" xfId="0" applyNumberFormat="1" applyFont="1" applyFill="1" applyAlignment="1">
      <alignment horizontal="center" vertical="center"/>
    </xf>
    <xf numFmtId="3" fontId="19" fillId="7" borderId="0" xfId="0" applyNumberFormat="1" applyFont="1" applyFill="1" applyAlignment="1">
      <alignment horizontal="center" vertical="center"/>
    </xf>
    <xf numFmtId="0" fontId="19" fillId="0" borderId="0" xfId="0" applyFont="1" applyAlignment="1">
      <alignment horizontal="center" vertical="center"/>
    </xf>
    <xf numFmtId="0" fontId="17" fillId="6" borderId="0" xfId="0" applyFont="1" applyFill="1" applyAlignment="1">
      <alignment horizontal="center" vertical="center"/>
    </xf>
    <xf numFmtId="0" fontId="18" fillId="0" borderId="0" xfId="0" applyFont="1" applyAlignment="1">
      <alignment horizontal="center" vertical="center"/>
    </xf>
    <xf numFmtId="0" fontId="9" fillId="2" borderId="0" xfId="0" applyFont="1" applyFill="1" applyAlignment="1">
      <alignment horizontal="center" vertical="center"/>
    </xf>
    <xf numFmtId="0" fontId="6" fillId="17" borderId="0" xfId="0" applyFont="1" applyFill="1" applyAlignment="1">
      <alignment horizontal="center" vertical="center" wrapText="1"/>
    </xf>
    <xf numFmtId="3" fontId="19" fillId="17" borderId="0" xfId="0" applyNumberFormat="1" applyFont="1" applyFill="1" applyAlignment="1">
      <alignment horizontal="center" vertical="center"/>
    </xf>
    <xf numFmtId="0" fontId="6" fillId="11" borderId="0" xfId="0" applyFont="1" applyFill="1" applyAlignment="1">
      <alignment horizontal="center" vertical="center" wrapText="1"/>
    </xf>
    <xf numFmtId="3" fontId="19" fillId="11" borderId="0" xfId="0" applyNumberFormat="1" applyFont="1" applyFill="1" applyAlignment="1">
      <alignment horizontal="center" vertical="center"/>
    </xf>
    <xf numFmtId="0" fontId="6" fillId="18" borderId="0" xfId="0" applyFont="1" applyFill="1" applyAlignment="1">
      <alignment horizontal="center" vertical="center" wrapText="1"/>
    </xf>
    <xf numFmtId="3" fontId="19" fillId="18" borderId="0" xfId="0" applyNumberFormat="1" applyFont="1" applyFill="1" applyAlignment="1">
      <alignment horizontal="center" vertical="center"/>
    </xf>
    <xf numFmtId="0" fontId="6" fillId="19" borderId="0" xfId="0" applyFont="1" applyFill="1" applyAlignment="1">
      <alignment horizontal="center" vertical="center" wrapText="1"/>
    </xf>
    <xf numFmtId="3" fontId="19" fillId="19" borderId="0" xfId="0" applyNumberFormat="1" applyFont="1" applyFill="1" applyAlignment="1">
      <alignment horizontal="center" vertical="center"/>
    </xf>
    <xf numFmtId="0" fontId="6" fillId="15" borderId="0" xfId="0" applyFont="1" applyFill="1" applyAlignment="1">
      <alignment horizontal="center" vertical="center"/>
    </xf>
    <xf numFmtId="0" fontId="0" fillId="15" borderId="0" xfId="0" applyFill="1" applyAlignment="1">
      <alignment horizontal="center" vertical="center"/>
    </xf>
    <xf numFmtId="0" fontId="8" fillId="12" borderId="0" xfId="0" applyFont="1" applyFill="1" applyAlignment="1">
      <alignment horizontal="center" vertical="center"/>
    </xf>
    <xf numFmtId="0" fontId="16" fillId="0" borderId="0" xfId="0" applyFont="1" applyAlignment="1">
      <alignment horizontal="center" vertical="center"/>
    </xf>
    <xf numFmtId="0" fontId="15" fillId="14" borderId="0" xfId="0" applyFont="1" applyFill="1" applyAlignment="1">
      <alignment horizontal="center" vertical="center" wrapText="1"/>
    </xf>
    <xf numFmtId="0" fontId="13" fillId="6" borderId="0" xfId="0" applyFont="1" applyFill="1" applyAlignment="1">
      <alignment horizontal="center" vertical="center"/>
    </xf>
    <xf numFmtId="3" fontId="19" fillId="14" borderId="0" xfId="0" applyNumberFormat="1" applyFont="1" applyFill="1" applyAlignment="1">
      <alignment horizontal="center" vertical="center"/>
    </xf>
    <xf numFmtId="0" fontId="15" fillId="7" borderId="0" xfId="0" applyFont="1" applyFill="1" applyAlignment="1">
      <alignment horizontal="center" vertical="center" wrapText="1"/>
    </xf>
    <xf numFmtId="0" fontId="15" fillId="9" borderId="0" xfId="0" applyFont="1" applyFill="1" applyAlignment="1">
      <alignment horizontal="center" vertical="center" wrapText="1"/>
    </xf>
    <xf numFmtId="0" fontId="15" fillId="11" borderId="0" xfId="0" applyFont="1" applyFill="1" applyAlignment="1">
      <alignment horizontal="center" vertical="center" wrapText="1"/>
    </xf>
    <xf numFmtId="0" fontId="14" fillId="2" borderId="0" xfId="0" applyFont="1" applyFill="1" applyAlignment="1">
      <alignment horizontal="center" vertical="center"/>
    </xf>
    <xf numFmtId="0" fontId="6" fillId="13" borderId="0" xfId="0" applyFont="1" applyFill="1" applyAlignment="1">
      <alignment horizontal="center" vertical="center"/>
    </xf>
    <xf numFmtId="3" fontId="22" fillId="14" borderId="0" xfId="0" applyNumberFormat="1" applyFont="1" applyFill="1" applyAlignment="1">
      <alignment horizontal="center" vertical="center"/>
    </xf>
    <xf numFmtId="0" fontId="22" fillId="0" borderId="0" xfId="0" applyFont="1" applyAlignment="1">
      <alignment horizontal="center" vertical="center"/>
    </xf>
  </cellXfs>
  <cellStyles count="2">
    <cellStyle name="Hyperlink" xfId="1" builtinId="8"/>
    <cellStyle name="Normal" xfId="0" builtinId="0"/>
  </cellStyles>
  <dxfs count="43">
    <dxf>
      <alignment horizontal="center" vertical="center" wrapText="1"/>
    </dxf>
    <dxf>
      <numFmt numFmtId="0" formatCode="General"/>
      <alignment horizontal="center" vertical="center" wrapText="1"/>
    </dxf>
    <dxf>
      <numFmt numFmtId="0" formatCode="General"/>
      <alignment horizontal="center" vertical="center" wrapText="1" readingOrder="2"/>
    </dxf>
    <dxf>
      <numFmt numFmtId="0" formatCode="General"/>
      <alignment horizontal="center" vertical="center" wrapText="1" readingOrder="2"/>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1"/>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numFmt numFmtId="165" formatCode="[$-60401]dddd\،\ d\ mmmm\ yyyy"/>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numFmt numFmtId="164" formatCode="[$-F800]dddd\,\ mmmm\ dd\,\ yyyy"/>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numFmt numFmtId="164" formatCode="[$-F800]dddd\,\ mmmm\ dd\,\ yyyy"/>
      <fill>
        <patternFill patternType="solid">
          <fgColor indexed="64"/>
          <bgColor rgb="FFF4EEE8"/>
        </patternFill>
      </fill>
      <alignment horizontal="center" vertical="center" textRotation="0" wrapText="1" indent="0" justifyLastLine="0" shrinkToFit="0" readingOrder="1"/>
      <border diagonalUp="0" diagonalDown="0">
        <left style="medium">
          <color rgb="FFFFFFFF"/>
        </left>
        <right style="medium">
          <color rgb="FFFFFFFF"/>
        </right>
        <top style="medium">
          <color rgb="FFFFFFFF"/>
        </top>
        <bottom style="medium">
          <color rgb="FFFFFFFF"/>
        </bottom>
        <vertical/>
        <horizontal/>
      </border>
    </dxf>
    <dxf>
      <alignment horizontal="center" vertical="center" wrapText="1"/>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lexandria"/>
        <scheme val="none"/>
      </font>
      <fill>
        <patternFill patternType="solid">
          <fgColor indexed="64"/>
          <bgColor rgb="FFF4EEE8"/>
        </patternFill>
      </fill>
      <alignment horizontal="center" vertical="center" textRotation="0" wrapText="1" indent="0" justifyLastLine="0" shrinkToFit="0" readingOrder="2"/>
      <border diagonalUp="0" diagonalDown="0">
        <left style="medium">
          <color rgb="FFFFFFFF"/>
        </left>
        <right style="medium">
          <color rgb="FFFFFFFF"/>
        </right>
        <top style="medium">
          <color rgb="FFFFFFFF"/>
        </top>
        <bottom style="medium">
          <color rgb="FFFFFFFF"/>
        </bottom>
        <vertical/>
        <horizontal/>
      </border>
    </dxf>
    <dxf>
      <border outline="0">
        <top style="medium">
          <color rgb="FFFFFFFF"/>
        </top>
      </border>
    </dxf>
    <dxf>
      <border outline="0">
        <bottom style="medium">
          <color rgb="FFFFFFFF"/>
        </bottom>
      </border>
    </dxf>
    <dxf>
      <border outline="0">
        <left style="medium">
          <color rgb="FFFFFFFF"/>
        </left>
        <right style="medium">
          <color rgb="FFFFFFFF"/>
        </right>
        <top style="medium">
          <color rgb="FFFFFFFF"/>
        </top>
        <bottom style="medium">
          <color rgb="FFFFFFFF"/>
        </bottom>
      </border>
    </dxf>
    <dxf>
      <alignment horizontal="center" vertical="center" wrapText="1"/>
    </dxf>
    <dxf>
      <font>
        <b val="0"/>
        <i val="0"/>
        <strike val="0"/>
        <condense val="0"/>
        <extend val="0"/>
        <outline val="0"/>
        <shadow val="0"/>
        <u val="none"/>
        <vertAlign val="baseline"/>
        <sz val="18"/>
        <color rgb="FFFFFFFF"/>
        <name val="Alexandria"/>
        <scheme val="none"/>
      </font>
      <fill>
        <patternFill patternType="solid">
          <fgColor indexed="64"/>
          <bgColor rgb="FF0A4653"/>
        </patternFill>
      </fill>
      <alignment horizontal="center" vertical="center" textRotation="0" wrapText="1" indent="0" justifyLastLine="0" shrinkToFit="0" readingOrder="2"/>
      <border diagonalUp="0" diagonalDown="0">
        <left style="medium">
          <color rgb="FFFFFFFF"/>
        </left>
        <right style="medium">
          <color rgb="FFFFFFFF"/>
        </right>
        <top/>
        <bottom/>
      </border>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
      <font>
        <color theme="0"/>
      </font>
      <fill>
        <patternFill patternType="solid">
          <bgColor theme="7" tint="-0.249977111117893"/>
        </patternFill>
      </fill>
    </dxf>
    <dxf>
      <font>
        <color rgb="FF006100"/>
      </font>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08EF4-232A-4942-85C5-BEA58365E1CB}" name="Table1" displayName="Table1" ref="B2:O35" totalsRowShown="0" headerRowDxfId="18" dataDxfId="17" headerRowBorderDxfId="15" tableBorderDxfId="16" totalsRowBorderDxfId="14">
  <autoFilter ref="B2:O35" xr:uid="{2FCC6B87-B615-4900-8A5E-A6EE7F7B72CE}">
    <filterColumn colId="5">
      <filters>
        <filter val="جاري العمل"/>
        <filter val="قيد الانتظار"/>
        <filter val="قيد التنفيذ"/>
      </filters>
    </filterColumn>
  </autoFilter>
  <tableColumns count="14">
    <tableColumn id="1" xr3:uid="{2685631D-1BAA-4072-8863-FF62DEAED478}" name="المهمة" dataDxfId="13"/>
    <tableColumn id="12" xr3:uid="{C605A7CF-EF1E-46BD-93D6-F0D95E785014}" name="مسار إدارة المشروع" dataDxfId="12"/>
    <tableColumn id="13" xr3:uid="{31FE6754-1D1D-4721-B356-CBDD72550B12}" name="كود المسار" dataDxfId="11"/>
    <tableColumn id="2" xr3:uid="{83B6DAC3-FD25-4D16-855E-99F3399C8513}" name="الوصف" dataDxfId="10"/>
    <tableColumn id="3" xr3:uid="{A0D41BC0-55F1-4220-9CAD-9CD35AD4BE7C}" name="المسؤول" dataDxfId="9"/>
    <tableColumn id="4" xr3:uid="{2A8B484A-A98C-4313-A125-A9CF5ADCB92C}" name="الحالة" dataDxfId="8"/>
    <tableColumn id="5" xr3:uid="{25DDFA7E-A7AE-49F4-AAE4-4CC15E43E3E1}" name="تاريخ الرصد (هجري)" dataDxfId="7"/>
    <tableColumn id="6" xr3:uid="{961D09D2-7C64-4E10-B1D0-BAB9D9A7E1A0}" name="تاريخ الاستحقاق (هجري)" dataDxfId="6"/>
    <tableColumn id="11" xr3:uid="{C52307D5-38B5-4DCA-A4E8-C58B1D20F872}" name="مصدر المهمة" dataDxfId="5"/>
    <tableColumn id="7" xr3:uid="{088C1C0B-B7D5-462F-B144-1DC04A7A40B2}" name="التحديث" dataDxfId="4"/>
    <tableColumn id="8" xr3:uid="{2ADBC5DD-9A91-45B5-9121-B345AE7D33C4}" name="تاريخ الرصد (ميلادي)" dataDxfId="3">
      <calculatedColumnFormula>IF($H3="","",TEXT($H3,"[$-ar-EG]dddd، d mmmm yyyy"))</calculatedColumnFormula>
    </tableColumn>
    <tableColumn id="9" xr3:uid="{2F27C504-DF2C-49A6-A4CB-FDBFD789B2B4}" name="تاريخ الاستحقاق (ميلادي)" dataDxfId="2">
      <calculatedColumnFormula>IF($I3="","",TEXT($I3,"[$-ar-EG]dddd، d mmmm yyyy"))</calculatedColumnFormula>
    </tableColumn>
    <tableColumn id="10" xr3:uid="{13E0BEA5-A692-40DC-AE02-83A425AFA825}" name="فئة الاستحقاق" dataDxfId="1">
      <calculatedColumnFormula array="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calculatedColumnFormula>
    </tableColumn>
    <tableColumn id="14" xr3:uid="{8B8FEF17-DF2B-42C0-8716-6BB67B939594}" name="توقف المهم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29867F2-D047-4E12-B36D-BD61ACC9EA8D}">
  <we:reference id="WA200009404" version="1.0.0.8" store="en-us" storeType="omex"/>
  <we:alternateReferences>
    <we:reference id="WA200009404" version="1.0.0.8" store="en-us" storeType="omex"/>
  </we:alternateReferences>
  <we:properties>
    <we:property name="claude.fileId" value="&quot;b078dcc8-a1ee-476c-abbb-8fd50d11548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C75C60B-247E-4479-9B82-1FC52A14139E}">
  <we:reference id="WA200005502" version="1.0.0.12" store="en-us" storeType="omex"/>
  <we:alternateReferences>
    <we:reference id="WA200005502" version="1.0.0.12" store="en-us" storeType="omex"/>
  </we:alternateReferences>
  <we:properties>
    <we:property name="docId" value="&quot;eOp82eHatN6800oDzoEjG&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afaqyitegy-my.sharepoint.com/:b:/g/personal/mohammed_safwat_afaqy_com/IQDqhmwjiZzjRYEgQWKl2vmPAe1KNjzsl4I9_YDVwfKrB-w?e=BxkFDS" TargetMode="External"/><Relationship Id="rId13" Type="http://schemas.openxmlformats.org/officeDocument/2006/relationships/printerSettings" Target="../printerSettings/printerSettings1.bin"/><Relationship Id="rId3" Type="http://schemas.openxmlformats.org/officeDocument/2006/relationships/hyperlink" Target="https://afaqyitegy-my.sharepoint.com/:x:/g/personal/mohammed_safwat_afaqy_com/IQDbipXLX_PcSLSjClJ20ttXAdJJ2VrJ81G8kTgxIifyeq0?e=S8Oxcl" TargetMode="External"/><Relationship Id="rId7" Type="http://schemas.openxmlformats.org/officeDocument/2006/relationships/hyperlink" Target="https://afaqyitegy-my.sharepoint.com/:w:/g/personal/mohammed_safwat_afaqy_com/IQA89t34k9yIT7ot7nFb7WR3AX_9s8wKJJTE-gtOv_FC5Ms?e=EHAdWg" TargetMode="External"/><Relationship Id="rId12" Type="http://schemas.openxmlformats.org/officeDocument/2006/relationships/hyperlink" Target="https://afaqyitegy-my.sharepoint.com/:b:/g/personal/mohammed_safwat_afaqy_com/IQCRYE8-FeiFRJyoht0RIGvyATkFBJ9SQmwb6xk0R3zc2O8?e=eynVxu" TargetMode="External"/><Relationship Id="rId2" Type="http://schemas.openxmlformats.org/officeDocument/2006/relationships/hyperlink" Target="https://afaqyitegy-my.sharepoint.com/:b:/g/personal/mohammed_safwat_afaqy_com/IQA0BdEqFg00Tq3MfKm2CUxNAeTZa8Jel_Rx37RV-jEI-Fw?e=0bcUjd" TargetMode="External"/><Relationship Id="rId1" Type="http://schemas.openxmlformats.org/officeDocument/2006/relationships/hyperlink" Target="https://afaqyitegy-my.sharepoint.com/:b:/g/personal/mohammed_safwat_afaqy_com/IQCMs0wyUhAxTKrn-Vi5uf2oAWVFu1Wdq4IHCPcdziO8UMo?e=SUH7EZ" TargetMode="External"/><Relationship Id="rId6" Type="http://schemas.openxmlformats.org/officeDocument/2006/relationships/hyperlink" Target="https://afaqyitegy-my.sharepoint.com/:p:/g/personal/mohammed_safwat_afaqy_com/IQBT4c4tjHptSbaC2omBaj49ATKG-MCWcnf23zbMWgbZsfE?e=8hfS1J" TargetMode="External"/><Relationship Id="rId11" Type="http://schemas.openxmlformats.org/officeDocument/2006/relationships/hyperlink" Target="https://afaqyitegy-my.sharepoint.com/:b:/g/personal/mohammed_safwat_afaqy_com/IQDp5rP_mpwFRY6rHYR7RQfKAewblAVQ8vOJtDiq7NOVq_U?e=Yz99cX" TargetMode="External"/><Relationship Id="rId5" Type="http://schemas.openxmlformats.org/officeDocument/2006/relationships/hyperlink" Target="https://afaqyitegy-my.sharepoint.com/:p:/g/personal/mohammed_safwat_afaqy_com/IQArCx_zfYGBQJhynUJ8zT0kAfFvwpqOD96PTy9dnBx95qs?e=kHLeHK" TargetMode="External"/><Relationship Id="rId10" Type="http://schemas.openxmlformats.org/officeDocument/2006/relationships/hyperlink" Target="https://afaqyitegy-my.sharepoint.com/:b:/g/personal/mohammed_safwat_afaqy_com/IQB1ILHgZX3ZToOtSPRsZFg7AYLYOUFwB4pDnzXl9lLwtxE?e=bhdh5Q" TargetMode="External"/><Relationship Id="rId4" Type="http://schemas.openxmlformats.org/officeDocument/2006/relationships/hyperlink" Target="https://afaqyitegy-my.sharepoint.com/:b:/g/personal/mohammed_safwat_afaqy_com/IQDtB8B11u-lQaq_74Lt6l2BAc7Ular0Vu4AXr-s3tck3zo?e=FnikYD" TargetMode="External"/><Relationship Id="rId9" Type="http://schemas.openxmlformats.org/officeDocument/2006/relationships/hyperlink" Target="https://afaqyitegy-my.sharepoint.com/:b:/g/personal/mohammed_safwat_afaqy_com/IQA550ZBLLiWTaQuZGJ0vzXfAZFHzw310WhCkQ_AbHtA-o8?e=pv86AU"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E6E76-B7DE-41B1-90A1-FFD8E8646871}">
  <sheetPr>
    <pageSetUpPr fitToPage="1"/>
  </sheetPr>
  <dimension ref="A1:R74"/>
  <sheetViews>
    <sheetView rightToLeft="1" tabSelected="1" view="pageLayout" zoomScaleNormal="100" workbookViewId="0">
      <pane xSplit="2" ySplit="2" topLeftCell="I37" activePane="bottomRight" state="frozen"/>
      <selection pane="bottomRight" activeCell="K45" sqref="K45"/>
      <selection pane="bottomLeft"/>
      <selection pane="topRight"/>
    </sheetView>
  </sheetViews>
  <sheetFormatPr defaultRowHeight="14.25"/>
  <cols>
    <col min="1" max="1" width="7" style="7" customWidth="1"/>
    <col min="2" max="2" width="32.125" style="7" customWidth="1"/>
    <col min="3" max="3" width="26.625" style="7" bestFit="1" customWidth="1"/>
    <col min="4" max="4" width="16.5" style="7" bestFit="1" customWidth="1"/>
    <col min="5" max="5" width="109.625" style="7" bestFit="1" customWidth="1"/>
    <col min="6" max="6" width="16.125" style="7" customWidth="1"/>
    <col min="7" max="7" width="10.125" style="7" bestFit="1" customWidth="1"/>
    <col min="8" max="8" width="24.375" style="8" customWidth="1"/>
    <col min="9" max="9" width="32.375" style="8" bestFit="1" customWidth="1"/>
    <col min="10" max="10" width="32.375" style="8" customWidth="1"/>
    <col min="11" max="11" width="50" style="7" customWidth="1"/>
    <col min="12" max="12" width="28.5" style="7" hidden="1" customWidth="1"/>
    <col min="13" max="13" width="33.5" style="7" hidden="1" customWidth="1"/>
    <col min="14" max="14" width="0" style="7" hidden="1" customWidth="1"/>
    <col min="15" max="16" width="9" style="7"/>
    <col min="17" max="17" width="26.5" style="7" customWidth="1"/>
    <col min="18" max="16384" width="9" style="7"/>
  </cols>
  <sheetData>
    <row r="1" spans="1:18" ht="26.25" customHeight="1">
      <c r="A1" s="34" t="str">
        <f ca="1">"اليوم: "&amp;TEXT(TODAY(),"[$-060401]dddd، d mmmm yyyy")&amp;" هـ  |  "&amp;TEXT(TODAY(),"[$-ar-EG]dddd، d mmmm yyyy")&amp;" م"</f>
        <v>اليوم: الثلاثاء، 3 ربيع الثاني 1448 هـ  |  الثلاثاء، 15 سبتمبر 2026 م</v>
      </c>
      <c r="B1" s="34"/>
      <c r="C1" s="34"/>
      <c r="D1" s="34"/>
      <c r="E1" s="34"/>
      <c r="F1" s="34"/>
      <c r="G1" s="34"/>
      <c r="H1" s="34"/>
      <c r="I1" s="34"/>
      <c r="J1" s="34"/>
      <c r="K1" s="35"/>
    </row>
    <row r="2" spans="1:18" ht="82.5">
      <c r="A2" s="19" t="s">
        <v>0</v>
      </c>
      <c r="B2" s="9" t="s">
        <v>1</v>
      </c>
      <c r="C2" s="22" t="s">
        <v>2</v>
      </c>
      <c r="D2" s="22" t="s">
        <v>3</v>
      </c>
      <c r="E2" s="10" t="s">
        <v>4</v>
      </c>
      <c r="F2" s="10" t="s">
        <v>5</v>
      </c>
      <c r="G2" s="10" t="s">
        <v>6</v>
      </c>
      <c r="H2" s="11" t="s">
        <v>7</v>
      </c>
      <c r="I2" s="11" t="s">
        <v>8</v>
      </c>
      <c r="J2" s="20" t="s">
        <v>9</v>
      </c>
      <c r="K2" s="12" t="s">
        <v>10</v>
      </c>
      <c r="L2" s="15" t="s">
        <v>11</v>
      </c>
      <c r="M2" s="15" t="s">
        <v>12</v>
      </c>
      <c r="N2" s="10" t="s">
        <v>13</v>
      </c>
      <c r="O2" s="10" t="s">
        <v>14</v>
      </c>
      <c r="P2" s="10" t="s">
        <v>15</v>
      </c>
      <c r="Q2" s="10" t="s">
        <v>16</v>
      </c>
      <c r="R2" s="10"/>
    </row>
    <row r="3" spans="1:18" ht="41.25" hidden="1">
      <c r="A3" s="26">
        <v>1</v>
      </c>
      <c r="B3" s="1" t="s">
        <v>17</v>
      </c>
      <c r="C3" s="1" t="s">
        <v>18</v>
      </c>
      <c r="D3" s="1" t="s">
        <v>19</v>
      </c>
      <c r="E3" s="1" t="s">
        <v>20</v>
      </c>
      <c r="F3" s="1" t="s">
        <v>21</v>
      </c>
      <c r="G3" s="5" t="s">
        <v>22</v>
      </c>
      <c r="H3" s="16">
        <v>46250</v>
      </c>
      <c r="I3" s="16">
        <v>46274</v>
      </c>
      <c r="J3" s="1" t="s">
        <v>23</v>
      </c>
      <c r="K3" s="18" t="s">
        <v>24</v>
      </c>
      <c r="L3" s="14" t="str">
        <f>IF($H3="","",TEXT($H3,"[$-ar-EG]dddd، d mmmm yyyy"))</f>
        <v>الأحد، 16 أغسطس 2026</v>
      </c>
      <c r="M3" s="14" t="str">
        <f>IF($I3="","",TEXT($I3,"[$-ar-EG]dddd، d mmmm yyyy"))</f>
        <v>الأربعاء، 9 سبتمبر 2026</v>
      </c>
      <c r="N3" s="14" t="str" cm="1">
        <f t="array" aca="1" ref="N3"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 s="14"/>
      <c r="P3" s="21"/>
      <c r="Q3" s="21"/>
    </row>
    <row r="4" spans="1:18" ht="27.75">
      <c r="A4" s="26">
        <v>2</v>
      </c>
      <c r="B4" s="1" t="s">
        <v>25</v>
      </c>
      <c r="C4" s="1" t="s">
        <v>26</v>
      </c>
      <c r="D4" s="1" t="s">
        <v>26</v>
      </c>
      <c r="E4" s="1" t="s">
        <v>27</v>
      </c>
      <c r="F4" s="1" t="s">
        <v>23</v>
      </c>
      <c r="G4" s="3" t="s">
        <v>28</v>
      </c>
      <c r="H4" s="16">
        <v>46246</v>
      </c>
      <c r="I4" s="16">
        <v>46260</v>
      </c>
      <c r="J4" s="1" t="s">
        <v>21</v>
      </c>
      <c r="K4" s="13" t="s">
        <v>29</v>
      </c>
      <c r="L4" s="14" t="str">
        <f>IF($H4="","",TEXT($H4,"[$-ar-EG]dddd، d mmmm yyyy"))</f>
        <v>الأربعاء، 12 أغسطس 2026</v>
      </c>
      <c r="M4" s="14" t="str">
        <f>IF($I4="","",TEXT($I4,"[$-ar-EG]dddd، d mmmm yyyy"))</f>
        <v>الأربعاء، 26 أغسطس 2026</v>
      </c>
      <c r="N4" s="14" t="str" cm="1">
        <f t="array" aca="1" ref="N4"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4" s="14"/>
      <c r="P4" s="21"/>
      <c r="Q4" s="21" t="s">
        <v>30</v>
      </c>
    </row>
    <row r="5" spans="1:18" ht="27.75" hidden="1">
      <c r="A5" s="26">
        <v>3</v>
      </c>
      <c r="B5" s="1" t="s">
        <v>31</v>
      </c>
      <c r="C5" s="1" t="s">
        <v>32</v>
      </c>
      <c r="D5" s="1" t="s">
        <v>33</v>
      </c>
      <c r="E5" s="13" t="s">
        <v>34</v>
      </c>
      <c r="F5" s="1" t="s">
        <v>21</v>
      </c>
      <c r="G5" s="5" t="s">
        <v>22</v>
      </c>
      <c r="H5" s="16">
        <v>46246</v>
      </c>
      <c r="I5" s="16">
        <v>46252</v>
      </c>
      <c r="J5" s="1" t="s">
        <v>23</v>
      </c>
      <c r="K5" s="4" t="s">
        <v>35</v>
      </c>
      <c r="L5" s="14" t="str">
        <f>IF($H5="","",TEXT($H5,"[$-ar-EG]dddd، d mmmm yyyy"))</f>
        <v>الأربعاء، 12 أغسطس 2026</v>
      </c>
      <c r="M5" s="14" t="str">
        <f>IF($I5="","",TEXT($I5,"[$-ar-EG]dddd، d mmmm yyyy"))</f>
        <v>الثلاثاء، 18 أغسطس 2026</v>
      </c>
      <c r="N5" s="14" t="str" cm="1">
        <f t="array" aca="1" ref="N5"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5" s="14"/>
      <c r="P5" s="21"/>
      <c r="Q5" s="21"/>
    </row>
    <row r="6" spans="1:18" ht="41.25" hidden="1">
      <c r="A6" s="26">
        <v>4</v>
      </c>
      <c r="B6" s="1" t="s">
        <v>36</v>
      </c>
      <c r="C6" s="1" t="s">
        <v>37</v>
      </c>
      <c r="D6" s="1" t="s">
        <v>38</v>
      </c>
      <c r="E6" s="1" t="s">
        <v>39</v>
      </c>
      <c r="F6" s="1" t="s">
        <v>40</v>
      </c>
      <c r="G6" s="3" t="s">
        <v>22</v>
      </c>
      <c r="H6" s="16">
        <v>46246</v>
      </c>
      <c r="I6" s="16">
        <v>46266</v>
      </c>
      <c r="J6" s="1" t="s">
        <v>23</v>
      </c>
      <c r="K6" s="4" t="s">
        <v>41</v>
      </c>
      <c r="L6" s="14" t="str">
        <f>IF($H6="","",TEXT($H6,"[$-ar-EG]dddd، d mmmm yyyy"))</f>
        <v>الأربعاء، 12 أغسطس 2026</v>
      </c>
      <c r="M6" s="14" t="str">
        <f>IF($I6="","",TEXT($I6,"[$-ar-EG]dddd، d mmmm yyyy"))</f>
        <v>الثلاثاء، 1 سبتمبر 2026</v>
      </c>
      <c r="N6" s="14" t="str" cm="1">
        <f t="array" aca="1" ref="N6"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6" s="14"/>
      <c r="P6" s="21"/>
      <c r="Q6" s="21" t="s">
        <v>42</v>
      </c>
    </row>
    <row r="7" spans="1:18" ht="54.75">
      <c r="A7" s="26">
        <v>5</v>
      </c>
      <c r="B7" s="1" t="s">
        <v>43</v>
      </c>
      <c r="C7" s="1" t="s">
        <v>37</v>
      </c>
      <c r="D7" s="1" t="s">
        <v>38</v>
      </c>
      <c r="E7" s="1" t="s">
        <v>44</v>
      </c>
      <c r="F7" s="1" t="s">
        <v>23</v>
      </c>
      <c r="G7" s="3" t="s">
        <v>28</v>
      </c>
      <c r="H7" s="16">
        <v>46253</v>
      </c>
      <c r="I7" s="16">
        <v>46280</v>
      </c>
      <c r="J7" s="1" t="s">
        <v>23</v>
      </c>
      <c r="K7" s="13" t="s">
        <v>45</v>
      </c>
      <c r="L7" s="14" t="str">
        <f>IF($H7="","",TEXT($H7,"[$-ar-EG]dddd، d mmmm yyyy"))</f>
        <v>الأربعاء، 19 أغسطس 2026</v>
      </c>
      <c r="M7" s="14" t="str">
        <f>IF($I7="","",TEXT($I7,"[$-ar-EG]dddd، d mmmm yyyy"))</f>
        <v>الثلاثاء، 15 سبتمبر 2026</v>
      </c>
      <c r="N7" s="14" t="str" cm="1">
        <f t="array" aca="1" ref="N7"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اليوم</v>
      </c>
      <c r="O7" s="14"/>
      <c r="P7" s="21"/>
      <c r="Q7" s="21"/>
    </row>
    <row r="8" spans="1:18" ht="41.25">
      <c r="A8" s="26">
        <v>6</v>
      </c>
      <c r="B8" s="1" t="s">
        <v>46</v>
      </c>
      <c r="C8" s="1" t="s">
        <v>37</v>
      </c>
      <c r="D8" s="1" t="s">
        <v>38</v>
      </c>
      <c r="E8" s="1" t="s">
        <v>47</v>
      </c>
      <c r="F8" s="1" t="s">
        <v>21</v>
      </c>
      <c r="G8" s="3" t="s">
        <v>48</v>
      </c>
      <c r="H8" s="16">
        <v>46246</v>
      </c>
      <c r="I8" s="33">
        <v>46321</v>
      </c>
      <c r="J8" s="26" t="s">
        <v>23</v>
      </c>
      <c r="K8" s="4" t="s">
        <v>49</v>
      </c>
      <c r="L8" s="14" t="str">
        <f>IF($H8="","",TEXT($H8,"[$-ar-EG]dddd، d mmmm yyyy"))</f>
        <v>الأربعاء، 12 أغسطس 2026</v>
      </c>
      <c r="M8" s="14" t="str">
        <f>IF($I8="","",TEXT($I8,"[$-ar-EG]dddd، d mmmm yyyy"))</f>
        <v>الإثنين، 26 أكتوبر 2026</v>
      </c>
      <c r="N8" s="14" t="str" cm="1">
        <f t="array" aca="1" ref="N8"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الشهر القادم</v>
      </c>
      <c r="O8" s="14"/>
      <c r="P8" s="21"/>
      <c r="Q8" s="21"/>
    </row>
    <row r="9" spans="1:18" ht="27.75">
      <c r="A9" s="26">
        <v>7</v>
      </c>
      <c r="B9" s="1" t="s">
        <v>50</v>
      </c>
      <c r="C9" s="1" t="s">
        <v>51</v>
      </c>
      <c r="D9" s="1" t="s">
        <v>26</v>
      </c>
      <c r="E9" s="1" t="s">
        <v>52</v>
      </c>
      <c r="F9" s="1" t="s">
        <v>21</v>
      </c>
      <c r="G9" s="3" t="s">
        <v>28</v>
      </c>
      <c r="H9" s="16">
        <v>46246</v>
      </c>
      <c r="I9" s="16">
        <v>46295</v>
      </c>
      <c r="J9" s="2" t="s">
        <v>23</v>
      </c>
      <c r="K9" s="13" t="s">
        <v>53</v>
      </c>
      <c r="L9" s="14" t="str">
        <f>IF($H9="","",TEXT($H9,"[$-ar-EG]dddd، d mmmm yyyy"))</f>
        <v>الأربعاء، 12 أغسطس 2026</v>
      </c>
      <c r="M9" s="14" t="str">
        <f>IF($I9="","",TEXT($I9,"[$-ar-EG]dddd، d mmmm yyyy"))</f>
        <v>الأربعاء، 30 سبتمبر 2026</v>
      </c>
      <c r="N9" s="14" t="str" cm="1">
        <f t="array" aca="1" ref="N9"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باقي هذا الشهر</v>
      </c>
      <c r="O9" s="14"/>
      <c r="P9" s="21"/>
      <c r="Q9" s="21" t="s">
        <v>54</v>
      </c>
    </row>
    <row r="10" spans="1:18" ht="45" customHeight="1">
      <c r="A10" s="26">
        <v>8</v>
      </c>
      <c r="B10" s="1" t="s">
        <v>55</v>
      </c>
      <c r="C10" s="1" t="s">
        <v>18</v>
      </c>
      <c r="D10" s="1" t="s">
        <v>19</v>
      </c>
      <c r="E10" s="1" t="s">
        <v>56</v>
      </c>
      <c r="F10" s="1" t="s">
        <v>21</v>
      </c>
      <c r="G10" s="3" t="s">
        <v>57</v>
      </c>
      <c r="H10" s="16">
        <v>46253</v>
      </c>
      <c r="I10" s="17">
        <v>46275</v>
      </c>
      <c r="J10" s="17" t="s">
        <v>23</v>
      </c>
      <c r="K10" s="6" t="s">
        <v>58</v>
      </c>
      <c r="L10" s="14" t="str">
        <f>IF($H10="","",TEXT($H10,"[$-ar-EG]dddd، d mmmm yyyy"))</f>
        <v>الأربعاء، 19 أغسطس 2026</v>
      </c>
      <c r="M10" s="14" t="str">
        <f>IF($I10="","",TEXT($I10,"[$-ar-EG]dddd، d mmmm yyyy"))</f>
        <v>الخميس، 10 سبتمبر 2026</v>
      </c>
      <c r="N10" s="21" t="str" cm="1">
        <f t="array" aca="1" ref="N10"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10" s="21"/>
      <c r="P10" s="21"/>
      <c r="Q10" s="21" t="s">
        <v>59</v>
      </c>
    </row>
    <row r="11" spans="1:18" ht="42.75" hidden="1" customHeight="1">
      <c r="A11" s="26">
        <v>9</v>
      </c>
      <c r="B11" s="1" t="s">
        <v>60</v>
      </c>
      <c r="C11" s="1" t="s">
        <v>37</v>
      </c>
      <c r="D11" s="1" t="s">
        <v>38</v>
      </c>
      <c r="E11" s="1" t="s">
        <v>61</v>
      </c>
      <c r="F11" s="1" t="s">
        <v>23</v>
      </c>
      <c r="G11" s="5" t="s">
        <v>22</v>
      </c>
      <c r="H11" s="16">
        <v>46251</v>
      </c>
      <c r="I11" s="17">
        <v>46253</v>
      </c>
      <c r="J11" s="1" t="s">
        <v>21</v>
      </c>
      <c r="K11" s="4" t="s">
        <v>62</v>
      </c>
      <c r="L11" s="14" t="str">
        <f>IF($H11="","",TEXT($H11,"[$-ar-EG]dddd، d mmmm yyyy"))</f>
        <v>الإثنين، 17 أغسطس 2026</v>
      </c>
      <c r="M11" s="14" t="str">
        <f>IF($I11="","",TEXT($I11,"[$-ar-EG]dddd، d mmmm yyyy"))</f>
        <v>الأربعاء، 19 أغسطس 2026</v>
      </c>
      <c r="N11" s="14" t="str" cm="1">
        <f t="array" aca="1" ref="N11"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1" s="14"/>
      <c r="P11" s="21"/>
      <c r="Q11" s="21"/>
    </row>
    <row r="12" spans="1:18" ht="54.75" hidden="1">
      <c r="A12" s="26">
        <v>10</v>
      </c>
      <c r="B12" s="1" t="s">
        <v>63</v>
      </c>
      <c r="C12" s="1" t="s">
        <v>18</v>
      </c>
      <c r="D12" s="1" t="s">
        <v>19</v>
      </c>
      <c r="E12" s="1" t="s">
        <v>64</v>
      </c>
      <c r="F12" s="1" t="s">
        <v>65</v>
      </c>
      <c r="G12" s="3" t="s">
        <v>22</v>
      </c>
      <c r="H12" s="16">
        <v>46246</v>
      </c>
      <c r="I12" s="16">
        <v>46251</v>
      </c>
      <c r="J12" s="2" t="s">
        <v>23</v>
      </c>
      <c r="K12" s="18" t="s">
        <v>66</v>
      </c>
      <c r="L12" s="14" t="str">
        <f>IF($H12="","",TEXT($H12,"[$-ar-EG]dddd، d mmmm yyyy"))</f>
        <v>الأربعاء، 12 أغسطس 2026</v>
      </c>
      <c r="M12" s="14" t="str">
        <f>IF($I12="","",TEXT($I12,"[$-ar-EG]dddd، d mmmm yyyy"))</f>
        <v>الإثنين، 17 أغسطس 2026</v>
      </c>
      <c r="N12" s="14" t="str" cm="1">
        <f t="array" aca="1" ref="N12"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2" s="14"/>
      <c r="P12" s="21"/>
      <c r="Q12" s="21"/>
    </row>
    <row r="13" spans="1:18" ht="28.5" hidden="1">
      <c r="A13" s="26">
        <v>11</v>
      </c>
      <c r="B13" s="1" t="s">
        <v>67</v>
      </c>
      <c r="C13" s="1" t="s">
        <v>68</v>
      </c>
      <c r="D13" s="1" t="s">
        <v>69</v>
      </c>
      <c r="E13" s="1" t="s">
        <v>70</v>
      </c>
      <c r="F13" s="1" t="s">
        <v>40</v>
      </c>
      <c r="G13" s="5" t="s">
        <v>22</v>
      </c>
      <c r="H13" s="16">
        <v>46246</v>
      </c>
      <c r="I13" s="16">
        <v>46247</v>
      </c>
      <c r="J13" s="2" t="s">
        <v>23</v>
      </c>
      <c r="K13" s="18" t="s">
        <v>71</v>
      </c>
      <c r="L13" s="14" t="str">
        <f>IF($H13="","",TEXT($H13,"[$-ar-EG]dddd، d mmmm yyyy"))</f>
        <v>الأربعاء، 12 أغسطس 2026</v>
      </c>
      <c r="M13" s="14" t="str">
        <f>IF($I13="","",TEXT($I13,"[$-ar-EG]dddd، d mmmm yyyy"))</f>
        <v>الخميس، 13 أغسطس 2026</v>
      </c>
      <c r="N13" s="14" t="str" cm="1">
        <f t="array" aca="1" ref="N13"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3" s="14"/>
      <c r="P13" s="21"/>
      <c r="Q13" s="21"/>
    </row>
    <row r="14" spans="1:18" ht="28.5" hidden="1">
      <c r="A14" s="26">
        <v>12</v>
      </c>
      <c r="B14" s="1" t="s">
        <v>72</v>
      </c>
      <c r="C14" s="1" t="s">
        <v>68</v>
      </c>
      <c r="D14" s="1" t="s">
        <v>69</v>
      </c>
      <c r="E14" s="1" t="s">
        <v>73</v>
      </c>
      <c r="F14" s="1" t="s">
        <v>21</v>
      </c>
      <c r="G14" s="5" t="s">
        <v>22</v>
      </c>
      <c r="H14" s="16">
        <v>46370</v>
      </c>
      <c r="I14" s="16">
        <v>46253</v>
      </c>
      <c r="J14" s="2" t="s">
        <v>23</v>
      </c>
      <c r="K14" s="18" t="s">
        <v>74</v>
      </c>
      <c r="L14" s="14" t="str">
        <f>IF($H14="","",TEXT($H14,"[$-ar-EG]dddd، d mmmm yyyy"))</f>
        <v>الإثنين، 14 ديسمبر 2026</v>
      </c>
      <c r="M14" s="14" t="str">
        <f>IF($I14="","",TEXT($I14,"[$-ar-EG]dddd، d mmmm yyyy"))</f>
        <v>الأربعاء، 19 أغسطس 2026</v>
      </c>
      <c r="N14" s="14" t="str" cm="1">
        <f t="array" aca="1" ref="N14"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4" s="14"/>
      <c r="P14" s="21"/>
      <c r="Q14" s="21"/>
    </row>
    <row r="15" spans="1:18" ht="28.5" hidden="1">
      <c r="A15" s="26">
        <v>13</v>
      </c>
      <c r="B15" s="1" t="s">
        <v>75</v>
      </c>
      <c r="C15" s="1" t="s">
        <v>68</v>
      </c>
      <c r="D15" s="1" t="s">
        <v>69</v>
      </c>
      <c r="E15" s="1" t="s">
        <v>76</v>
      </c>
      <c r="F15" s="1" t="s">
        <v>21</v>
      </c>
      <c r="G15" s="5" t="s">
        <v>22</v>
      </c>
      <c r="H15" s="16">
        <v>46370</v>
      </c>
      <c r="I15" s="16">
        <v>46253</v>
      </c>
      <c r="J15" s="2" t="s">
        <v>23</v>
      </c>
      <c r="K15" s="18" t="s">
        <v>74</v>
      </c>
      <c r="L15" s="14" t="str">
        <f>IF($H15="","",TEXT($H15,"[$-ar-EG]dddd، d mmmm yyyy"))</f>
        <v>الإثنين، 14 ديسمبر 2026</v>
      </c>
      <c r="M15" s="14" t="str">
        <f>IF($I15="","",TEXT($I15,"[$-ar-EG]dddd، d mmmm yyyy"))</f>
        <v>الأربعاء، 19 أغسطس 2026</v>
      </c>
      <c r="N15" s="14" t="str" cm="1">
        <f t="array" aca="1" ref="N15"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5" s="14"/>
      <c r="P15" s="21"/>
      <c r="Q15" s="21"/>
    </row>
    <row r="16" spans="1:18" ht="41.25" hidden="1">
      <c r="A16" s="26">
        <v>14</v>
      </c>
      <c r="B16" s="1" t="s">
        <v>77</v>
      </c>
      <c r="C16" s="1" t="s">
        <v>18</v>
      </c>
      <c r="D16" s="1" t="s">
        <v>19</v>
      </c>
      <c r="E16" s="1" t="s">
        <v>78</v>
      </c>
      <c r="F16" s="1" t="s">
        <v>21</v>
      </c>
      <c r="G16" s="5" t="s">
        <v>22</v>
      </c>
      <c r="H16" s="16">
        <v>46246</v>
      </c>
      <c r="I16" s="16">
        <v>46247</v>
      </c>
      <c r="J16" s="1" t="s">
        <v>23</v>
      </c>
      <c r="K16" s="18" t="s">
        <v>79</v>
      </c>
      <c r="L16" s="14" t="str">
        <f>IF($H16="","",TEXT($H16,"[$-ar-EG]dddd، d mmmm yyyy"))</f>
        <v>الأربعاء، 12 أغسطس 2026</v>
      </c>
      <c r="M16" s="14" t="str">
        <f>IF($I16="","",TEXT($I16,"[$-ar-EG]dddd، d mmmm yyyy"))</f>
        <v>الخميس، 13 أغسطس 2026</v>
      </c>
      <c r="N16" s="14" t="str" cm="1">
        <f t="array" aca="1" ref="N16"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16" s="14"/>
      <c r="P16" s="21"/>
      <c r="Q16" s="21"/>
    </row>
    <row r="17" spans="1:17" ht="43.5">
      <c r="A17" s="26">
        <v>15</v>
      </c>
      <c r="B17" s="1" t="s">
        <v>80</v>
      </c>
      <c r="C17" s="1" t="s">
        <v>81</v>
      </c>
      <c r="D17" s="1" t="s">
        <v>82</v>
      </c>
      <c r="E17" s="1" t="s">
        <v>83</v>
      </c>
      <c r="F17" s="1" t="s">
        <v>21</v>
      </c>
      <c r="G17" s="3" t="s">
        <v>28</v>
      </c>
      <c r="H17" s="16">
        <v>46246</v>
      </c>
      <c r="I17" s="16">
        <v>46260</v>
      </c>
      <c r="J17" s="2" t="s">
        <v>23</v>
      </c>
      <c r="K17" s="6" t="s">
        <v>84</v>
      </c>
      <c r="L17" s="14" t="str">
        <f>IF($H17="","",TEXT($H17,"[$-ar-EG]dddd، d mmmm yyyy"))</f>
        <v>الأربعاء، 12 أغسطس 2026</v>
      </c>
      <c r="M17" s="14" t="str">
        <f>IF($I17="","",TEXT($I17,"[$-ar-EG]dddd، d mmmm yyyy"))</f>
        <v>الأربعاء، 26 أغسطس 2026</v>
      </c>
      <c r="N17" s="14" t="str" cm="1">
        <f t="array" aca="1" ref="N17"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17" s="14"/>
      <c r="P17" s="21" t="s">
        <v>85</v>
      </c>
      <c r="Q17" s="21" t="s">
        <v>86</v>
      </c>
    </row>
    <row r="18" spans="1:17" ht="27.75">
      <c r="A18" s="26">
        <v>16</v>
      </c>
      <c r="B18" s="1" t="s">
        <v>87</v>
      </c>
      <c r="C18" s="1" t="s">
        <v>81</v>
      </c>
      <c r="D18" s="1" t="s">
        <v>82</v>
      </c>
      <c r="E18" s="1" t="s">
        <v>88</v>
      </c>
      <c r="F18" s="1" t="s">
        <v>23</v>
      </c>
      <c r="G18" s="3" t="s">
        <v>28</v>
      </c>
      <c r="H18" s="16">
        <v>46251</v>
      </c>
      <c r="I18" s="16">
        <v>46257</v>
      </c>
      <c r="J18" s="2" t="s">
        <v>23</v>
      </c>
      <c r="K18" s="4" t="s">
        <v>89</v>
      </c>
      <c r="L18" s="14" t="str">
        <f>IF($H18="","",TEXT($H18,"[$-ar-EG]dddd، d mmmm yyyy"))</f>
        <v>الإثنين، 17 أغسطس 2026</v>
      </c>
      <c r="M18" s="14" t="str">
        <f>IF($I18="","",TEXT($I18,"[$-ar-EG]dddd، d mmmm yyyy"))</f>
        <v>الأحد، 23 أغسطس 2026</v>
      </c>
      <c r="N18" s="14" t="str" cm="1">
        <f t="array" aca="1" ref="N18"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18" s="14"/>
      <c r="P18" s="21" t="s">
        <v>90</v>
      </c>
      <c r="Q18" s="21"/>
    </row>
    <row r="19" spans="1:17" ht="57.75">
      <c r="A19" s="26">
        <v>17</v>
      </c>
      <c r="B19" s="1" t="s">
        <v>91</v>
      </c>
      <c r="C19" s="1" t="s">
        <v>18</v>
      </c>
      <c r="D19" s="1" t="s">
        <v>19</v>
      </c>
      <c r="E19" s="1" t="s">
        <v>92</v>
      </c>
      <c r="F19" s="1" t="s">
        <v>21</v>
      </c>
      <c r="G19" s="3" t="s">
        <v>28</v>
      </c>
      <c r="H19" s="16">
        <v>46246</v>
      </c>
      <c r="I19" s="16">
        <v>46326</v>
      </c>
      <c r="J19" s="2" t="s">
        <v>23</v>
      </c>
      <c r="K19" s="13" t="s">
        <v>93</v>
      </c>
      <c r="L19" s="14" t="str">
        <f>IF($H19="","",TEXT($H19,"[$-ar-EG]dddd، d mmmm yyyy"))</f>
        <v>الأربعاء، 12 أغسطس 2026</v>
      </c>
      <c r="M19" s="14" t="str">
        <f>IF($I19="","",TEXT($I19,"[$-ar-EG]dddd، d mmmm yyyy"))</f>
        <v>السبت، 31 أكتوبر 2026</v>
      </c>
      <c r="N19" s="14" t="str" cm="1">
        <f t="array" aca="1" ref="N19"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الشهر القادم</v>
      </c>
      <c r="O19" s="14"/>
      <c r="P19" s="21" t="s">
        <v>94</v>
      </c>
      <c r="Q19" s="21"/>
    </row>
    <row r="20" spans="1:17" hidden="1">
      <c r="A20" s="26">
        <v>18</v>
      </c>
      <c r="B20" s="1" t="s">
        <v>95</v>
      </c>
      <c r="C20" s="1" t="s">
        <v>81</v>
      </c>
      <c r="D20" s="1" t="s">
        <v>82</v>
      </c>
      <c r="E20" s="1" t="s">
        <v>96</v>
      </c>
      <c r="F20" s="1" t="s">
        <v>21</v>
      </c>
      <c r="G20" s="3" t="s">
        <v>22</v>
      </c>
      <c r="H20" s="16">
        <v>46251</v>
      </c>
      <c r="I20" s="17">
        <v>46260</v>
      </c>
      <c r="J20" s="2" t="s">
        <v>23</v>
      </c>
      <c r="K20" s="18" t="s">
        <v>97</v>
      </c>
      <c r="L20" s="14" t="str">
        <f>IF($H20="","",TEXT($H20,"[$-ar-EG]dddd، d mmmm yyyy"))</f>
        <v>الإثنين، 17 أغسطس 2026</v>
      </c>
      <c r="M20" s="14" t="str">
        <f>IF($I20="","",TEXT($I20,"[$-ar-EG]dddd، d mmmm yyyy"))</f>
        <v>الأربعاء، 26 أغسطس 2026</v>
      </c>
      <c r="N20" s="14" t="str" cm="1">
        <f t="array" aca="1" ref="N20"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0" s="14"/>
      <c r="P20" s="21" t="s">
        <v>98</v>
      </c>
      <c r="Q20" s="21" t="s">
        <v>99</v>
      </c>
    </row>
    <row r="21" spans="1:17" ht="27.75" hidden="1">
      <c r="A21" s="26">
        <v>19</v>
      </c>
      <c r="B21" s="1" t="s">
        <v>100</v>
      </c>
      <c r="C21" s="1" t="s">
        <v>68</v>
      </c>
      <c r="D21" s="1" t="s">
        <v>69</v>
      </c>
      <c r="E21" s="1" t="s">
        <v>101</v>
      </c>
      <c r="F21" s="1" t="s">
        <v>21</v>
      </c>
      <c r="G21" s="3" t="s">
        <v>22</v>
      </c>
      <c r="H21" s="16">
        <v>46251</v>
      </c>
      <c r="I21" s="17">
        <v>46265</v>
      </c>
      <c r="J21" s="1" t="s">
        <v>21</v>
      </c>
      <c r="K21" s="13" t="s">
        <v>102</v>
      </c>
      <c r="L21" s="14" t="str">
        <f>IF($H21="","",TEXT($H21,"[$-ar-EG]dddd، d mmmm yyyy"))</f>
        <v>الإثنين، 17 أغسطس 2026</v>
      </c>
      <c r="M21" s="14" t="str">
        <f>IF($I21="","",TEXT($I21,"[$-ar-EG]dddd، d mmmm yyyy"))</f>
        <v>الإثنين، 31 أغسطس 2026</v>
      </c>
      <c r="N21" s="14" t="str" cm="1">
        <f t="array" aca="1" ref="N21"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1" s="14"/>
      <c r="P21" s="21"/>
      <c r="Q21" s="21"/>
    </row>
    <row r="22" spans="1:17" ht="27.75" hidden="1">
      <c r="A22" s="26">
        <v>20</v>
      </c>
      <c r="B22" s="1" t="s">
        <v>103</v>
      </c>
      <c r="C22" s="1" t="s">
        <v>51</v>
      </c>
      <c r="D22" s="1" t="s">
        <v>26</v>
      </c>
      <c r="E22" s="1" t="s">
        <v>104</v>
      </c>
      <c r="F22" s="1" t="s">
        <v>23</v>
      </c>
      <c r="G22" s="3" t="s">
        <v>22</v>
      </c>
      <c r="H22" s="16">
        <v>46251</v>
      </c>
      <c r="I22" s="17">
        <v>46253</v>
      </c>
      <c r="J22" s="2" t="s">
        <v>23</v>
      </c>
      <c r="K22" s="13" t="s">
        <v>105</v>
      </c>
      <c r="L22" s="14" t="str">
        <f>IF($H22="","",TEXT($H22,"[$-ar-EG]dddd، d mmmm yyyy"))</f>
        <v>الإثنين، 17 أغسطس 2026</v>
      </c>
      <c r="M22" s="14" t="str">
        <f>IF($I22="","",TEXT($I22,"[$-ar-EG]dddd، d mmmm yyyy"))</f>
        <v>الأربعاء، 19 أغسطس 2026</v>
      </c>
      <c r="N22" s="14" t="str" cm="1">
        <f t="array" aca="1" ref="N22"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2" s="14"/>
      <c r="P22" s="21"/>
      <c r="Q22" s="21"/>
    </row>
    <row r="23" spans="1:17" ht="27.75" hidden="1">
      <c r="A23" s="26">
        <v>21</v>
      </c>
      <c r="B23" s="1" t="s">
        <v>106</v>
      </c>
      <c r="C23" s="1" t="s">
        <v>37</v>
      </c>
      <c r="D23" s="1" t="s">
        <v>38</v>
      </c>
      <c r="E23" s="1" t="s">
        <v>107</v>
      </c>
      <c r="F23" s="1" t="s">
        <v>23</v>
      </c>
      <c r="G23" s="3" t="s">
        <v>22</v>
      </c>
      <c r="H23" s="16">
        <v>46251</v>
      </c>
      <c r="I23" s="17">
        <v>46253</v>
      </c>
      <c r="J23" s="1" t="s">
        <v>21</v>
      </c>
      <c r="K23" s="4" t="s">
        <v>108</v>
      </c>
      <c r="L23" s="14" t="str">
        <f>IF($H23="","",TEXT($H23,"[$-ar-EG]dddd، d mmmm yyyy"))</f>
        <v>الإثنين، 17 أغسطس 2026</v>
      </c>
      <c r="M23" s="14" t="str">
        <f>IF($I23="","",TEXT($I23,"[$-ar-EG]dddd، d mmmm yyyy"))</f>
        <v>الأربعاء، 19 أغسطس 2026</v>
      </c>
      <c r="N23" s="14" t="str" cm="1">
        <f t="array" aca="1" ref="N23"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3" s="14"/>
      <c r="P23" s="21" t="s">
        <v>109</v>
      </c>
      <c r="Q23" s="21" t="s">
        <v>110</v>
      </c>
    </row>
    <row r="24" spans="1:17" ht="41.25">
      <c r="A24" s="26">
        <v>22</v>
      </c>
      <c r="B24" s="1" t="s">
        <v>111</v>
      </c>
      <c r="C24" s="1" t="s">
        <v>37</v>
      </c>
      <c r="D24" s="1" t="s">
        <v>38</v>
      </c>
      <c r="E24" s="1" t="s">
        <v>112</v>
      </c>
      <c r="F24" s="1" t="s">
        <v>23</v>
      </c>
      <c r="G24" s="3" t="s">
        <v>28</v>
      </c>
      <c r="H24" s="16">
        <v>46251</v>
      </c>
      <c r="I24" s="17">
        <v>46257</v>
      </c>
      <c r="J24" s="1" t="s">
        <v>21</v>
      </c>
      <c r="K24" s="4" t="s">
        <v>113</v>
      </c>
      <c r="L24" s="14" t="str">
        <f>IF($H24="","",TEXT($H24,"[$-ar-EG]dddd، d mmmm yyyy"))</f>
        <v>الإثنين، 17 أغسطس 2026</v>
      </c>
      <c r="M24" s="14" t="str">
        <f>IF($I24="","",TEXT($I24,"[$-ar-EG]dddd، d mmmm yyyy"))</f>
        <v>الأحد، 23 أغسطس 2026</v>
      </c>
      <c r="N24" s="14" t="str" cm="1">
        <f t="array" aca="1" ref="N24"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24" s="14"/>
      <c r="P24" s="21"/>
      <c r="Q24" s="21" t="s">
        <v>114</v>
      </c>
    </row>
    <row r="25" spans="1:17" ht="27.75" hidden="1">
      <c r="A25" s="26">
        <v>23</v>
      </c>
      <c r="B25" s="1" t="s">
        <v>115</v>
      </c>
      <c r="C25" s="1" t="s">
        <v>68</v>
      </c>
      <c r="D25" s="1" t="s">
        <v>69</v>
      </c>
      <c r="E25" s="1" t="s">
        <v>116</v>
      </c>
      <c r="F25" s="1" t="s">
        <v>21</v>
      </c>
      <c r="G25" s="3" t="s">
        <v>22</v>
      </c>
      <c r="H25" s="16">
        <v>46246</v>
      </c>
      <c r="I25" s="17">
        <v>46266</v>
      </c>
      <c r="J25" s="2" t="s">
        <v>23</v>
      </c>
      <c r="K25" s="4"/>
      <c r="L25" s="14" t="str">
        <f>IF($H25="","",TEXT($H25,"[$-ar-EG]dddd، d mmmm yyyy"))</f>
        <v>الأربعاء، 12 أغسطس 2026</v>
      </c>
      <c r="M25" s="14" t="str">
        <f>IF($I25="","",TEXT($I25,"[$-ar-EG]dddd، d mmmm yyyy"))</f>
        <v>الثلاثاء، 1 سبتمبر 2026</v>
      </c>
      <c r="N25" s="14" t="str" cm="1">
        <f t="array" aca="1" ref="N25"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5" s="14"/>
      <c r="P25" s="21"/>
      <c r="Q25" s="21"/>
    </row>
    <row r="26" spans="1:17" ht="72">
      <c r="A26" s="26">
        <v>24</v>
      </c>
      <c r="B26" s="1" t="s">
        <v>117</v>
      </c>
      <c r="C26" s="1" t="s">
        <v>37</v>
      </c>
      <c r="D26" s="1" t="s">
        <v>38</v>
      </c>
      <c r="E26" s="1" t="s">
        <v>118</v>
      </c>
      <c r="F26" s="1" t="s">
        <v>21</v>
      </c>
      <c r="G26" s="3" t="s">
        <v>28</v>
      </c>
      <c r="H26" s="16">
        <v>46250</v>
      </c>
      <c r="I26" s="17">
        <v>46257</v>
      </c>
      <c r="J26" s="1" t="s">
        <v>21</v>
      </c>
      <c r="K26" s="4" t="s">
        <v>119</v>
      </c>
      <c r="L26" s="14" t="str">
        <f>IF($H26="","",TEXT($H26,"[$-ar-EG]dddd، d mmmm yyyy"))</f>
        <v>الأحد، 16 أغسطس 2026</v>
      </c>
      <c r="M26" s="14" t="str">
        <f>IF($I26="","",TEXT($I26,"[$-ar-EG]dddd، d mmmm yyyy"))</f>
        <v>الأحد، 23 أغسطس 2026</v>
      </c>
      <c r="N26" s="14" t="str" cm="1">
        <f t="array" aca="1" ref="N26"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26" s="14" t="s">
        <v>120</v>
      </c>
      <c r="P26" s="21" t="s">
        <v>121</v>
      </c>
      <c r="Q26" s="21" t="s">
        <v>122</v>
      </c>
    </row>
    <row r="27" spans="1:17" hidden="1">
      <c r="A27" s="26">
        <v>25</v>
      </c>
      <c r="B27" s="1" t="s">
        <v>123</v>
      </c>
      <c r="C27" s="1" t="s">
        <v>68</v>
      </c>
      <c r="D27" s="1" t="s">
        <v>69</v>
      </c>
      <c r="E27" s="30" t="s">
        <v>124</v>
      </c>
      <c r="F27" s="28" t="s">
        <v>21</v>
      </c>
      <c r="G27" s="3" t="s">
        <v>22</v>
      </c>
      <c r="H27" s="17">
        <v>46257</v>
      </c>
      <c r="I27" s="17">
        <v>46258</v>
      </c>
      <c r="J27" s="2" t="s">
        <v>23</v>
      </c>
      <c r="K27" s="29" t="s">
        <v>125</v>
      </c>
      <c r="O27" s="21"/>
      <c r="P27" s="21"/>
      <c r="Q27" s="21"/>
    </row>
    <row r="28" spans="1:17" ht="27.75" hidden="1">
      <c r="A28" s="26">
        <v>26</v>
      </c>
      <c r="B28" s="1" t="s">
        <v>126</v>
      </c>
      <c r="C28" s="1" t="s">
        <v>18</v>
      </c>
      <c r="D28" s="1" t="s">
        <v>19</v>
      </c>
      <c r="E28" s="30" t="s">
        <v>127</v>
      </c>
      <c r="F28" s="28" t="s">
        <v>21</v>
      </c>
      <c r="G28" s="3" t="s">
        <v>22</v>
      </c>
      <c r="H28" s="17">
        <v>46257</v>
      </c>
      <c r="I28" s="17">
        <v>46258</v>
      </c>
      <c r="J28" s="2" t="s">
        <v>23</v>
      </c>
      <c r="K28" s="31" t="s">
        <v>128</v>
      </c>
      <c r="L28" s="14" t="str">
        <f>IF($H28="","",TEXT($H28,"[$-ar-EG]dddd، d mmmm yyyy"))</f>
        <v>الأحد، 23 أغسطس 2026</v>
      </c>
      <c r="M28" s="14" t="str">
        <f>IF($I28="","",TEXT($I28,"[$-ar-EG]dddd، d mmmm yyyy"))</f>
        <v>الإثنين، 24 أغسطس 2026</v>
      </c>
      <c r="N28" s="21" t="str" cm="1">
        <f t="array" aca="1" ref="N28"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28" s="21"/>
      <c r="P28" s="21" t="s">
        <v>129</v>
      </c>
      <c r="Q28" s="21"/>
    </row>
    <row r="29" spans="1:17" ht="53.25" customHeight="1">
      <c r="A29" s="26">
        <v>27</v>
      </c>
      <c r="B29" s="1" t="s">
        <v>130</v>
      </c>
      <c r="C29" s="1" t="s">
        <v>32</v>
      </c>
      <c r="D29" s="1" t="s">
        <v>33</v>
      </c>
      <c r="E29" s="30" t="s">
        <v>131</v>
      </c>
      <c r="F29" s="28" t="s">
        <v>21</v>
      </c>
      <c r="G29" s="27" t="s">
        <v>28</v>
      </c>
      <c r="H29" s="17">
        <v>46257</v>
      </c>
      <c r="I29" s="17">
        <v>46261</v>
      </c>
      <c r="J29" s="2" t="s">
        <v>23</v>
      </c>
      <c r="K29" s="25" t="s">
        <v>132</v>
      </c>
      <c r="L29" s="14" t="str">
        <f>IF($H29="","",TEXT($H29,"[$-ar-EG]dddd، d mmmm yyyy"))</f>
        <v>الأحد، 23 أغسطس 2026</v>
      </c>
      <c r="M29" s="14" t="str">
        <f>IF($I29="","",TEXT($I29,"[$-ar-EG]dddd، d mmmm yyyy"))</f>
        <v>الخميس، 27 أغسطس 2026</v>
      </c>
      <c r="N29" s="21" t="str" cm="1">
        <f t="array" aca="1" ref="N29"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متأخرة</v>
      </c>
      <c r="O29" s="21"/>
      <c r="P29" s="21" t="s">
        <v>133</v>
      </c>
      <c r="Q29" s="21" t="s">
        <v>134</v>
      </c>
    </row>
    <row r="30" spans="1:17" ht="53.25" hidden="1" customHeight="1">
      <c r="A30" s="26">
        <v>28</v>
      </c>
      <c r="B30" s="1" t="s">
        <v>135</v>
      </c>
      <c r="C30" s="1" t="s">
        <v>18</v>
      </c>
      <c r="D30" s="1" t="s">
        <v>19</v>
      </c>
      <c r="E30" s="30" t="s">
        <v>136</v>
      </c>
      <c r="F30" s="28" t="s">
        <v>21</v>
      </c>
      <c r="G30" s="3" t="s">
        <v>22</v>
      </c>
      <c r="H30" s="17">
        <v>46257</v>
      </c>
      <c r="I30" s="17">
        <v>46258</v>
      </c>
      <c r="J30" s="2" t="s">
        <v>23</v>
      </c>
      <c r="K30" s="18" t="s">
        <v>137</v>
      </c>
      <c r="L30" s="14" t="str">
        <f>IF($H30="","",TEXT($H30,"[$-ar-EG]dddd، d mmmm yyyy"))</f>
        <v>الأحد، 23 أغسطس 2026</v>
      </c>
      <c r="M30" s="14" t="str">
        <f>IF($I30="","",TEXT($I30,"[$-ar-EG]dddd، d mmmm yyyy"))</f>
        <v>الإثنين، 24 أغسطس 2026</v>
      </c>
      <c r="N30" s="21" t="str" cm="1">
        <f t="array" aca="1" ref="N30"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0" s="21"/>
      <c r="P30" s="21"/>
      <c r="Q30" s="21" t="s">
        <v>138</v>
      </c>
    </row>
    <row r="31" spans="1:17" ht="28.5" hidden="1" customHeight="1">
      <c r="A31" s="26">
        <v>29</v>
      </c>
      <c r="B31" s="1" t="s">
        <v>139</v>
      </c>
      <c r="C31" s="1" t="s">
        <v>68</v>
      </c>
      <c r="D31" s="1" t="s">
        <v>69</v>
      </c>
      <c r="E31" s="30" t="s">
        <v>140</v>
      </c>
      <c r="F31" s="28" t="s">
        <v>23</v>
      </c>
      <c r="G31" s="3" t="s">
        <v>22</v>
      </c>
      <c r="H31" s="17">
        <v>46257</v>
      </c>
      <c r="I31" s="17">
        <v>46258</v>
      </c>
      <c r="J31" s="2" t="s">
        <v>23</v>
      </c>
      <c r="K31" s="25"/>
      <c r="L31" s="14" t="str">
        <f>IF($H31="","",TEXT($H31,"[$-ar-EG]dddd، d mmmm yyyy"))</f>
        <v>الأحد، 23 أغسطس 2026</v>
      </c>
      <c r="M31" s="14" t="str">
        <f>IF($I31="","",TEXT($I31,"[$-ar-EG]dddd، d mmmm yyyy"))</f>
        <v>الإثنين، 24 أغسطس 2026</v>
      </c>
      <c r="N31" s="21" t="str" cm="1">
        <f t="array" aca="1" ref="N31"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1" s="21"/>
      <c r="P31" s="21"/>
      <c r="Q31" s="21" t="s">
        <v>22</v>
      </c>
    </row>
    <row r="32" spans="1:17" ht="32.25" hidden="1" customHeight="1">
      <c r="A32" s="26">
        <v>30</v>
      </c>
      <c r="B32" s="1" t="s">
        <v>141</v>
      </c>
      <c r="C32" s="1" t="s">
        <v>68</v>
      </c>
      <c r="D32" s="1" t="s">
        <v>69</v>
      </c>
      <c r="E32" s="30" t="s">
        <v>142</v>
      </c>
      <c r="F32" s="28" t="s">
        <v>21</v>
      </c>
      <c r="G32" s="3" t="s">
        <v>22</v>
      </c>
      <c r="H32" s="17">
        <v>46257</v>
      </c>
      <c r="I32" s="17">
        <v>46258</v>
      </c>
      <c r="J32" s="2" t="s">
        <v>23</v>
      </c>
      <c r="K32" s="25"/>
      <c r="L32" s="14" t="str">
        <f>IF($H32="","",TEXT($H32,"[$-ar-EG]dddd، d mmmm yyyy"))</f>
        <v>الأحد، 23 أغسطس 2026</v>
      </c>
      <c r="M32" s="14" t="str">
        <f>IF($I32="","",TEXT($I32,"[$-ar-EG]dddd، d mmmm yyyy"))</f>
        <v>الإثنين، 24 أغسطس 2026</v>
      </c>
      <c r="N32" s="21" t="str" cm="1">
        <f t="array" aca="1" ref="N32"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2" s="21"/>
      <c r="P32" s="21"/>
      <c r="Q32" s="21" t="s">
        <v>22</v>
      </c>
    </row>
    <row r="33" spans="1:17" ht="32.25" hidden="1" customHeight="1">
      <c r="A33" s="26">
        <v>31</v>
      </c>
      <c r="B33" s="29" t="s">
        <v>143</v>
      </c>
      <c r="C33" s="1" t="s">
        <v>68</v>
      </c>
      <c r="D33" s="1" t="s">
        <v>69</v>
      </c>
      <c r="E33" s="29" t="s">
        <v>144</v>
      </c>
      <c r="F33" s="28" t="s">
        <v>21</v>
      </c>
      <c r="G33" s="3" t="s">
        <v>22</v>
      </c>
      <c r="H33" s="17">
        <v>46259</v>
      </c>
      <c r="I33" s="17">
        <v>46260</v>
      </c>
      <c r="J33" s="2" t="s">
        <v>23</v>
      </c>
      <c r="K33" s="32" t="s">
        <v>145</v>
      </c>
      <c r="L33" s="14" t="str">
        <f>IF($H33="","",TEXT($H33,"[$-ar-EG]dddd، d mmmm yyyy"))</f>
        <v>الثلاثاء، 25 أغسطس 2026</v>
      </c>
      <c r="M33" s="14" t="str">
        <f>IF($I33="","",TEXT($I33,"[$-ar-EG]dddd، d mmmm yyyy"))</f>
        <v>الأربعاء، 26 أغسطس 2026</v>
      </c>
      <c r="N33" s="21" t="str" cm="1">
        <f t="array" aca="1" ref="N33"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3" s="21"/>
    </row>
    <row r="34" spans="1:17" ht="32.25" hidden="1" customHeight="1">
      <c r="A34" s="26">
        <v>32</v>
      </c>
      <c r="B34" s="29" t="s">
        <v>146</v>
      </c>
      <c r="C34" s="1" t="s">
        <v>68</v>
      </c>
      <c r="D34" s="1" t="s">
        <v>69</v>
      </c>
      <c r="E34" s="29" t="s">
        <v>147</v>
      </c>
      <c r="F34" s="28" t="s">
        <v>21</v>
      </c>
      <c r="G34" s="3" t="s">
        <v>22</v>
      </c>
      <c r="H34" s="17">
        <v>46259</v>
      </c>
      <c r="I34" s="17">
        <v>46260</v>
      </c>
      <c r="J34" s="2" t="s">
        <v>23</v>
      </c>
      <c r="K34" s="32" t="s">
        <v>145</v>
      </c>
      <c r="L34" s="14" t="str">
        <f>IF($H34="","",TEXT($H34,"[$-ar-EG]dddd، d mmmm yyyy"))</f>
        <v>الثلاثاء، 25 أغسطس 2026</v>
      </c>
      <c r="M34" s="14" t="str">
        <f>IF($I34="","",TEXT($I34,"[$-ar-EG]dddd، d mmmm yyyy"))</f>
        <v>الأربعاء، 26 أغسطس 2026</v>
      </c>
      <c r="N34" s="21" t="str" cm="1">
        <f t="array" aca="1" ref="N34"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4" s="21"/>
    </row>
    <row r="35" spans="1:17" ht="32.25" hidden="1" customHeight="1">
      <c r="A35" s="26">
        <v>33</v>
      </c>
      <c r="B35" s="29" t="s">
        <v>148</v>
      </c>
      <c r="C35" s="1" t="s">
        <v>68</v>
      </c>
      <c r="D35" s="1" t="s">
        <v>69</v>
      </c>
      <c r="E35" s="29" t="s">
        <v>149</v>
      </c>
      <c r="F35" s="28" t="s">
        <v>21</v>
      </c>
      <c r="G35" s="3" t="s">
        <v>22</v>
      </c>
      <c r="H35" s="17">
        <v>46259</v>
      </c>
      <c r="I35" s="17">
        <v>46260</v>
      </c>
      <c r="J35" s="2" t="s">
        <v>23</v>
      </c>
      <c r="K35" s="32" t="s">
        <v>128</v>
      </c>
      <c r="L35" s="14" t="str">
        <f>IF($H35="","",TEXT($H35,"[$-ar-EG]dddd، d mmmm yyyy"))</f>
        <v>الثلاثاء، 25 أغسطس 2026</v>
      </c>
      <c r="M35" s="14" t="str">
        <f>IF($I35="","",TEXT($I35,"[$-ar-EG]dddd، d mmmm yyyy"))</f>
        <v>الأربعاء، 26 أغسطس 2026</v>
      </c>
      <c r="N35" s="21" t="str" cm="1">
        <f t="array" aca="1" ref="N35" ca="1">IF(Table1[[#This Row],[المهمة]]="","",IF(TRIM(Table1[[#This Row],[الحالة]])="مكتمل","مكتملة",IF(Table1[[#This Row],[تاريخ الاستحقاق (هجري)]]="","بدون تاريخ",_xlfn.IFS(Table1[[#This Row],[تاريخ الاستحقاق (هجري)]]&lt;TODAY(),"متأخرة",Table1[[#This Row],[تاريخ الاستحقاق (هجري)]]=TODAY(),"اليوم",Table1[[#This Row],[تاريخ الاستحقاق (هجري)]]=TODAY()+1,"غدًا",Table1[[#This Row],[تاريخ الاستحقاق (هجري)]]&lt;=TODAY()-WEEKDAY(TODAY(),2)+7,"باقي هذا الأسبوع",Table1[[#This Row],[تاريخ الاستحقاق (هجري)]]&lt;=TODAY()-WEEKDAY(TODAY(),2)+14,"الأسبوع القادم",Table1[[#This Row],[تاريخ الاستحقاق (هجري)]]&lt;=EOMONTH(TODAY(),0),"باقي هذا الشهر",Table1[[#This Row],[تاريخ الاستحقاق (هجري)]]&lt;=EOMONTH(TODAY(),1),"الشهر القادم",TRUE,"لاحقًا"))))</f>
        <v>مكتملة</v>
      </c>
      <c r="O35" s="21"/>
      <c r="Q35" s="7" t="s">
        <v>150</v>
      </c>
    </row>
    <row r="36" spans="1:17" ht="32.25" customHeight="1">
      <c r="A36" s="26">
        <v>34</v>
      </c>
      <c r="B36" s="1" t="s">
        <v>151</v>
      </c>
      <c r="C36" s="1" t="s">
        <v>37</v>
      </c>
      <c r="D36" s="1" t="s">
        <v>38</v>
      </c>
      <c r="E36" s="1" t="s">
        <v>107</v>
      </c>
      <c r="F36" s="1" t="s">
        <v>23</v>
      </c>
      <c r="G36" s="3" t="s">
        <v>28</v>
      </c>
      <c r="H36" s="16">
        <v>46260</v>
      </c>
      <c r="I36" s="17">
        <v>46288</v>
      </c>
      <c r="J36" s="1" t="s">
        <v>21</v>
      </c>
      <c r="K36" s="4" t="s">
        <v>152</v>
      </c>
      <c r="L36" s="21" t="s">
        <v>109</v>
      </c>
      <c r="M36" s="21" t="s">
        <v>110</v>
      </c>
    </row>
    <row r="37" spans="1:17" ht="32.25" customHeight="1">
      <c r="A37" s="26">
        <v>35</v>
      </c>
      <c r="B37" s="1" t="s">
        <v>153</v>
      </c>
      <c r="C37" s="1" t="s">
        <v>68</v>
      </c>
      <c r="D37" s="1" t="s">
        <v>69</v>
      </c>
      <c r="E37" s="1" t="s">
        <v>154</v>
      </c>
      <c r="F37" s="1" t="s">
        <v>23</v>
      </c>
      <c r="G37" s="3" t="s">
        <v>28</v>
      </c>
      <c r="H37" s="16">
        <v>46260</v>
      </c>
      <c r="I37" s="17">
        <v>46264</v>
      </c>
      <c r="J37" s="1" t="s">
        <v>155</v>
      </c>
      <c r="K37" s="4"/>
      <c r="L37" s="21"/>
      <c r="M37" s="21"/>
    </row>
    <row r="38" spans="1:17" ht="32.25" customHeight="1">
      <c r="A38" s="26">
        <v>36</v>
      </c>
      <c r="B38" s="1" t="s">
        <v>156</v>
      </c>
      <c r="C38" s="1" t="s">
        <v>68</v>
      </c>
      <c r="D38" s="1" t="s">
        <v>69</v>
      </c>
      <c r="E38" s="1" t="s">
        <v>157</v>
      </c>
      <c r="F38" s="1" t="s">
        <v>23</v>
      </c>
      <c r="G38" s="3" t="s">
        <v>28</v>
      </c>
      <c r="H38" s="16">
        <v>46260</v>
      </c>
      <c r="I38" s="17">
        <v>46264</v>
      </c>
      <c r="J38" s="1" t="s">
        <v>155</v>
      </c>
      <c r="K38" s="4"/>
      <c r="P38" s="7" t="s">
        <v>158</v>
      </c>
      <c r="Q38" s="7" t="s">
        <v>159</v>
      </c>
    </row>
    <row r="39" spans="1:17" ht="32.25" customHeight="1">
      <c r="A39" s="26">
        <v>37</v>
      </c>
      <c r="B39" s="1" t="s">
        <v>160</v>
      </c>
      <c r="C39" s="1" t="s">
        <v>68</v>
      </c>
      <c r="D39" s="1" t="s">
        <v>69</v>
      </c>
      <c r="E39" s="1" t="s">
        <v>161</v>
      </c>
      <c r="F39" s="1" t="s">
        <v>155</v>
      </c>
      <c r="G39" s="3" t="s">
        <v>22</v>
      </c>
      <c r="H39" s="16">
        <v>46261</v>
      </c>
      <c r="I39" s="16">
        <v>46264</v>
      </c>
      <c r="J39" s="1" t="s">
        <v>155</v>
      </c>
      <c r="K39" s="4"/>
    </row>
    <row r="40" spans="1:17">
      <c r="A40" s="26">
        <v>38</v>
      </c>
      <c r="B40" s="1" t="s">
        <v>162</v>
      </c>
      <c r="C40" s="1" t="s">
        <v>68</v>
      </c>
      <c r="D40" s="1" t="s">
        <v>69</v>
      </c>
      <c r="E40" s="1" t="s">
        <v>163</v>
      </c>
      <c r="F40" s="28" t="s">
        <v>21</v>
      </c>
      <c r="G40" s="3" t="s">
        <v>22</v>
      </c>
      <c r="H40" s="16">
        <v>46264</v>
      </c>
      <c r="I40" s="16">
        <v>46268</v>
      </c>
      <c r="J40" s="2" t="s">
        <v>23</v>
      </c>
      <c r="K40" s="4"/>
    </row>
    <row r="41" spans="1:17" ht="27.75">
      <c r="A41" s="26">
        <v>39</v>
      </c>
      <c r="B41" s="4" t="s">
        <v>164</v>
      </c>
      <c r="C41" s="1" t="s">
        <v>68</v>
      </c>
      <c r="D41" s="1" t="s">
        <v>69</v>
      </c>
      <c r="E41" s="4" t="s">
        <v>165</v>
      </c>
      <c r="F41" s="28" t="s">
        <v>21</v>
      </c>
      <c r="G41" s="3" t="s">
        <v>28</v>
      </c>
      <c r="H41" s="16">
        <v>46271</v>
      </c>
      <c r="I41" s="16">
        <v>46326</v>
      </c>
      <c r="J41" s="2" t="s">
        <v>23</v>
      </c>
      <c r="K41" s="4"/>
    </row>
    <row r="42" spans="1:17" ht="41.25">
      <c r="A42" s="26">
        <v>40</v>
      </c>
      <c r="B42" s="4" t="s">
        <v>166</v>
      </c>
      <c r="C42" s="1" t="s">
        <v>68</v>
      </c>
      <c r="D42" s="1" t="s">
        <v>69</v>
      </c>
      <c r="E42" s="4" t="s">
        <v>167</v>
      </c>
      <c r="F42" s="28" t="s">
        <v>21</v>
      </c>
      <c r="G42" s="3" t="s">
        <v>28</v>
      </c>
      <c r="H42" s="16">
        <v>46271</v>
      </c>
      <c r="I42" s="16">
        <v>46275</v>
      </c>
      <c r="J42" s="2" t="s">
        <v>23</v>
      </c>
      <c r="K42" s="4"/>
      <c r="Q42" s="7" t="s">
        <v>168</v>
      </c>
    </row>
    <row r="43" spans="1:17" ht="27.75">
      <c r="A43" s="26">
        <v>41</v>
      </c>
      <c r="B43" s="1" t="s">
        <v>169</v>
      </c>
      <c r="C43" s="1" t="s">
        <v>68</v>
      </c>
      <c r="D43" s="1" t="s">
        <v>69</v>
      </c>
      <c r="E43" s="1" t="s">
        <v>170</v>
      </c>
      <c r="F43" s="28" t="s">
        <v>21</v>
      </c>
      <c r="G43" s="3" t="s">
        <v>28</v>
      </c>
      <c r="H43" s="16">
        <v>46271</v>
      </c>
      <c r="I43" s="1"/>
      <c r="J43" s="2" t="s">
        <v>23</v>
      </c>
      <c r="K43" s="1"/>
      <c r="Q43" s="21" t="s">
        <v>134</v>
      </c>
    </row>
    <row r="44" spans="1:17">
      <c r="A44" s="26">
        <v>42</v>
      </c>
      <c r="B44" s="1" t="s">
        <v>171</v>
      </c>
      <c r="C44" s="1" t="s">
        <v>68</v>
      </c>
      <c r="D44" s="1" t="s">
        <v>69</v>
      </c>
      <c r="E44" s="1" t="s">
        <v>172</v>
      </c>
      <c r="F44" s="1" t="s">
        <v>23</v>
      </c>
      <c r="G44" s="3" t="s">
        <v>28</v>
      </c>
      <c r="H44" s="16">
        <v>46271</v>
      </c>
      <c r="I44" s="16">
        <v>46275</v>
      </c>
      <c r="J44" s="1" t="s">
        <v>21</v>
      </c>
      <c r="K44" s="1" t="s">
        <v>173</v>
      </c>
      <c r="Q44" s="7" t="s">
        <v>174</v>
      </c>
    </row>
    <row r="45" spans="1:17">
      <c r="A45" s="26">
        <v>43</v>
      </c>
      <c r="B45" s="1" t="s">
        <v>175</v>
      </c>
      <c r="C45" s="1" t="s">
        <v>68</v>
      </c>
      <c r="D45" s="1" t="s">
        <v>69</v>
      </c>
      <c r="E45" s="1" t="s">
        <v>176</v>
      </c>
      <c r="F45" s="1" t="s">
        <v>21</v>
      </c>
      <c r="G45" s="3" t="s">
        <v>28</v>
      </c>
      <c r="H45" s="16">
        <v>46273</v>
      </c>
      <c r="I45" s="16">
        <v>46278</v>
      </c>
      <c r="J45" s="1" t="s">
        <v>155</v>
      </c>
      <c r="K45" s="1"/>
      <c r="Q45" s="7" t="s">
        <v>177</v>
      </c>
    </row>
    <row r="46" spans="1:17">
      <c r="A46" s="26">
        <v>44</v>
      </c>
      <c r="B46" s="1" t="s">
        <v>178</v>
      </c>
      <c r="C46" s="1" t="s">
        <v>68</v>
      </c>
      <c r="D46" s="1" t="s">
        <v>69</v>
      </c>
      <c r="E46" s="1"/>
      <c r="F46" s="1"/>
      <c r="G46" s="1"/>
      <c r="H46" s="1"/>
      <c r="I46" s="1"/>
      <c r="J46" s="1"/>
      <c r="K46" s="1"/>
    </row>
    <row r="47" spans="1:17">
      <c r="A47" s="26">
        <v>45</v>
      </c>
      <c r="B47" s="1" t="s">
        <v>179</v>
      </c>
      <c r="C47" s="1" t="s">
        <v>68</v>
      </c>
      <c r="D47" s="1" t="s">
        <v>69</v>
      </c>
      <c r="E47" s="1" t="s">
        <v>180</v>
      </c>
      <c r="F47" s="1"/>
      <c r="G47" s="1"/>
      <c r="H47" s="1"/>
      <c r="I47" s="1"/>
      <c r="J47" s="1"/>
      <c r="K47" s="1"/>
    </row>
    <row r="48" spans="1:17" ht="27.75">
      <c r="A48" s="26">
        <v>46</v>
      </c>
      <c r="B48" s="1" t="s">
        <v>181</v>
      </c>
      <c r="C48" s="1" t="s">
        <v>68</v>
      </c>
      <c r="D48" s="1" t="s">
        <v>69</v>
      </c>
      <c r="E48" s="1"/>
      <c r="F48" s="1"/>
      <c r="G48" s="1"/>
      <c r="H48" s="1"/>
      <c r="I48" s="1"/>
      <c r="J48" s="1"/>
      <c r="K48" s="1"/>
    </row>
    <row r="49" spans="1:11">
      <c r="A49" s="26">
        <v>46</v>
      </c>
      <c r="B49" s="1" t="s">
        <v>182</v>
      </c>
      <c r="C49" s="1" t="s">
        <v>68</v>
      </c>
      <c r="D49" s="1" t="s">
        <v>69</v>
      </c>
      <c r="E49" s="1"/>
      <c r="F49" s="1"/>
      <c r="G49" s="1"/>
      <c r="H49" s="1"/>
      <c r="I49" s="1"/>
      <c r="J49" s="1"/>
      <c r="K49" s="1"/>
    </row>
    <row r="50" spans="1:11">
      <c r="A50" s="26">
        <v>47</v>
      </c>
      <c r="B50" s="1" t="s">
        <v>183</v>
      </c>
      <c r="C50" s="1" t="s">
        <v>68</v>
      </c>
      <c r="D50" s="1" t="s">
        <v>69</v>
      </c>
      <c r="E50" s="1" t="s">
        <v>184</v>
      </c>
      <c r="F50" s="1"/>
      <c r="G50" s="1"/>
      <c r="H50" s="1"/>
      <c r="I50" s="1"/>
      <c r="J50" s="1"/>
      <c r="K50" s="1"/>
    </row>
    <row r="51" spans="1:11">
      <c r="A51" s="26">
        <v>48</v>
      </c>
    </row>
    <row r="52" spans="1:11">
      <c r="A52" s="26">
        <v>49</v>
      </c>
    </row>
    <row r="53" spans="1:11">
      <c r="A53" s="26">
        <v>50</v>
      </c>
    </row>
    <row r="54" spans="1:11">
      <c r="A54" s="26">
        <v>51</v>
      </c>
    </row>
    <row r="55" spans="1:11">
      <c r="A55" s="26">
        <v>52</v>
      </c>
    </row>
    <row r="56" spans="1:11">
      <c r="A56" s="26">
        <v>53</v>
      </c>
    </row>
    <row r="57" spans="1:11">
      <c r="A57" s="26">
        <v>54</v>
      </c>
    </row>
    <row r="58" spans="1:11">
      <c r="A58" s="26">
        <v>55</v>
      </c>
    </row>
    <row r="59" spans="1:11">
      <c r="A59" s="26">
        <v>56</v>
      </c>
    </row>
    <row r="60" spans="1:11">
      <c r="A60" s="26">
        <v>57</v>
      </c>
    </row>
    <row r="61" spans="1:11">
      <c r="A61" s="26">
        <v>58</v>
      </c>
    </row>
    <row r="62" spans="1:11">
      <c r="A62" s="26">
        <v>59</v>
      </c>
    </row>
    <row r="63" spans="1:11">
      <c r="A63" s="26">
        <v>60</v>
      </c>
    </row>
    <row r="64" spans="1:11">
      <c r="A64" s="26">
        <v>61</v>
      </c>
    </row>
    <row r="65" spans="1:1">
      <c r="A65" s="26">
        <v>62</v>
      </c>
    </row>
    <row r="66" spans="1:1">
      <c r="A66" s="26">
        <v>63</v>
      </c>
    </row>
    <row r="67" spans="1:1">
      <c r="A67" s="26">
        <v>64</v>
      </c>
    </row>
    <row r="68" spans="1:1">
      <c r="A68" s="26">
        <v>65</v>
      </c>
    </row>
    <row r="69" spans="1:1">
      <c r="A69" s="26">
        <v>66</v>
      </c>
    </row>
    <row r="70" spans="1:1">
      <c r="A70" s="26">
        <v>67</v>
      </c>
    </row>
    <row r="71" spans="1:1">
      <c r="A71" s="26">
        <v>68</v>
      </c>
    </row>
    <row r="72" spans="1:1">
      <c r="A72" s="26">
        <v>69</v>
      </c>
    </row>
    <row r="73" spans="1:1">
      <c r="A73" s="26">
        <v>70</v>
      </c>
    </row>
    <row r="74" spans="1:1">
      <c r="A74" s="26">
        <v>71</v>
      </c>
    </row>
  </sheetData>
  <mergeCells count="1">
    <mergeCell ref="A1:K1"/>
  </mergeCells>
  <conditionalFormatting sqref="G3:G28">
    <cfRule type="containsText" dxfId="42" priority="33" operator="containsText" text="مكتمل">
      <formula>NOT(ISERROR(SEARCH("مكتمل",G3)))</formula>
    </cfRule>
  </conditionalFormatting>
  <conditionalFormatting sqref="G3:G28">
    <cfRule type="containsText" dxfId="41" priority="32" operator="containsText" text="قيد الانتظار">
      <formula>NOT(ISERROR(SEARCH("قيد الانتظار",G3)))</formula>
    </cfRule>
  </conditionalFormatting>
  <conditionalFormatting sqref="A1">
    <cfRule type="containsText" dxfId="40" priority="31" operator="containsText" text="مكتمل">
      <formula>NOT(ISERROR(SEARCH("مكتمل",A1)))</formula>
    </cfRule>
  </conditionalFormatting>
  <conditionalFormatting sqref="A1">
    <cfRule type="containsText" dxfId="39" priority="30" operator="containsText" text="قيد الانتظار ">
      <formula>NOT(ISERROR(SEARCH("قيد الانتظار ",A1)))</formula>
    </cfRule>
  </conditionalFormatting>
  <conditionalFormatting sqref="G30:G31">
    <cfRule type="containsText" dxfId="38" priority="25" operator="containsText" text="مكتمل">
      <formula>NOT(ISERROR(SEARCH("مكتمل",G30)))</formula>
    </cfRule>
  </conditionalFormatting>
  <conditionalFormatting sqref="G30:G31">
    <cfRule type="containsText" dxfId="37" priority="24" operator="containsText" text="قيد الانتظار">
      <formula>NOT(ISERROR(SEARCH("قيد الانتظار",G30)))</formula>
    </cfRule>
  </conditionalFormatting>
  <conditionalFormatting sqref="G32">
    <cfRule type="containsText" dxfId="36" priority="23" operator="containsText" text="مكتمل">
      <formula>NOT(ISERROR(SEARCH("مكتمل",G32)))</formula>
    </cfRule>
  </conditionalFormatting>
  <conditionalFormatting sqref="G32">
    <cfRule type="containsText" dxfId="35" priority="22" operator="containsText" text="قيد الانتظار">
      <formula>NOT(ISERROR(SEARCH("قيد الانتظار",G32)))</formula>
    </cfRule>
  </conditionalFormatting>
  <conditionalFormatting sqref="G36">
    <cfRule type="containsText" dxfId="34" priority="17" operator="containsText" text="مكتمل">
      <formula>NOT(ISERROR(SEARCH("مكتمل",G36)))</formula>
    </cfRule>
  </conditionalFormatting>
  <conditionalFormatting sqref="G36">
    <cfRule type="containsText" dxfId="33" priority="16" operator="containsText" text="قيد الانتظار">
      <formula>NOT(ISERROR(SEARCH("قيد الانتظار",G36)))</formula>
    </cfRule>
  </conditionalFormatting>
  <conditionalFormatting sqref="G37:G38">
    <cfRule type="containsText" dxfId="32" priority="15" operator="containsText" text="مكتمل">
      <formula>NOT(ISERROR(SEARCH("مكتمل",G37)))</formula>
    </cfRule>
  </conditionalFormatting>
  <conditionalFormatting sqref="G37:G38">
    <cfRule type="containsText" dxfId="31" priority="14" operator="containsText" text="قيد الانتظار">
      <formula>NOT(ISERROR(SEARCH("قيد الانتظار",G37)))</formula>
    </cfRule>
  </conditionalFormatting>
  <conditionalFormatting sqref="G39:G40">
    <cfRule type="containsText" dxfId="30" priority="13" operator="containsText" text="مكتمل">
      <formula>NOT(ISERROR(SEARCH("مكتمل",G39)))</formula>
    </cfRule>
  </conditionalFormatting>
  <conditionalFormatting sqref="G39:G40">
    <cfRule type="containsText" dxfId="29" priority="12" operator="containsText" text="قيد الانتظار">
      <formula>NOT(ISERROR(SEARCH("قيد الانتظار",G39)))</formula>
    </cfRule>
  </conditionalFormatting>
  <conditionalFormatting sqref="G35">
    <cfRule type="containsText" dxfId="28" priority="11" operator="containsText" text="مكتمل">
      <formula>NOT(ISERROR(SEARCH("مكتمل",G35)))</formula>
    </cfRule>
  </conditionalFormatting>
  <conditionalFormatting sqref="G35">
    <cfRule type="containsText" dxfId="27" priority="10" operator="containsText" text="قيد الانتظار">
      <formula>NOT(ISERROR(SEARCH("قيد الانتظار",G35)))</formula>
    </cfRule>
  </conditionalFormatting>
  <conditionalFormatting sqref="G41:G43">
    <cfRule type="containsText" dxfId="26" priority="9" operator="containsText" text="مكتمل">
      <formula>NOT(ISERROR(SEARCH("مكتمل",G41)))</formula>
    </cfRule>
  </conditionalFormatting>
  <conditionalFormatting sqref="G41:G43">
    <cfRule type="containsText" dxfId="25" priority="8" operator="containsText" text="قيد الانتظار">
      <formula>NOT(ISERROR(SEARCH("قيد الانتظار",G41)))</formula>
    </cfRule>
  </conditionalFormatting>
  <conditionalFormatting sqref="G33">
    <cfRule type="containsText" dxfId="24" priority="7" operator="containsText" text="مكتمل">
      <formula>NOT(ISERROR(SEARCH("مكتمل",G33)))</formula>
    </cfRule>
  </conditionalFormatting>
  <conditionalFormatting sqref="G33">
    <cfRule type="containsText" dxfId="23" priority="6" operator="containsText" text="قيد الانتظار">
      <formula>NOT(ISERROR(SEARCH("قيد الانتظار",G33)))</formula>
    </cfRule>
  </conditionalFormatting>
  <conditionalFormatting sqref="G34">
    <cfRule type="containsText" dxfId="22" priority="5" operator="containsText" text="مكتمل">
      <formula>NOT(ISERROR(SEARCH("مكتمل",G34)))</formula>
    </cfRule>
  </conditionalFormatting>
  <conditionalFormatting sqref="G34">
    <cfRule type="containsText" dxfId="21" priority="4" operator="containsText" text="قيد الانتظار">
      <formula>NOT(ISERROR(SEARCH("قيد الانتظار",G34)))</formula>
    </cfRule>
  </conditionalFormatting>
  <conditionalFormatting sqref="G44:G45">
    <cfRule type="containsText" dxfId="20" priority="2" operator="containsText" text="مكتمل">
      <formula>NOT(ISERROR(SEARCH("مكتمل",G44)))</formula>
    </cfRule>
  </conditionalFormatting>
  <conditionalFormatting sqref="G44:G45">
    <cfRule type="containsText" dxfId="19" priority="1" operator="containsText" text="قيد الانتظار">
      <formula>NOT(ISERROR(SEARCH("قيد الانتظار",G44)))</formula>
    </cfRule>
  </conditionalFormatting>
  <dataValidations count="2">
    <dataValidation type="list" errorStyle="warning" allowBlank="1" showInputMessage="1" showErrorMessage="1" errorTitle="قيمة غير معتمدة" error="اختر جهة من القائمة للحفاظ على دقة المؤشرات" sqref="F3:F26 J3:J7 F44 J9:J45 F36:F39" xr:uid="{37357AC1-07CC-4383-8CDD-B6DB58BC8F70}">
      <formula1>"أفاقي,الوزارة,علم,أفاقي + الوزارة,أفاقي + إدارة التفويج,أفاقي + الوزارة + علم"</formula1>
    </dataValidation>
    <dataValidation type="list" errorStyle="warning" allowBlank="1" showInputMessage="1" showErrorMessage="1" errorTitle="قيمة غير معتمدة" error="اختر حالة من القائمة" sqref="P10 G3:G28 G30:G45" xr:uid="{2FCFF1CB-289F-4497-882E-DECC1E614884}">
      <formula1>"قيد الانتظار,قيد التنفيذ,مكتمل,متوقف,ملغاة"</formula1>
    </dataValidation>
  </dataValidations>
  <hyperlinks>
    <hyperlink ref="K3" r:id="rId1" xr:uid="{C0C363FC-A9CA-479C-A3A2-3C886E81272D}"/>
    <hyperlink ref="K12" r:id="rId2" xr:uid="{62071BD0-0BB2-4C22-AD39-B83A41F63135}"/>
    <hyperlink ref="K13" r:id="rId3" xr:uid="{2480B66D-4248-46E7-9922-5C41A3D6C69A}"/>
    <hyperlink ref="K16" r:id="rId4" xr:uid="{57D170DD-8C93-43C5-852C-41B93BF702C7}"/>
    <hyperlink ref="K14" r:id="rId5" xr:uid="{632B2873-96F0-4FDC-9B70-29FFEF6C47BA}"/>
    <hyperlink ref="K15" r:id="rId6" xr:uid="{48F2FD38-506A-4695-A611-43D92D9C2D87}"/>
    <hyperlink ref="K28" r:id="rId7" xr:uid="{4D512E4E-1C3D-423D-8F75-BEA37CB2A791}"/>
    <hyperlink ref="K30" r:id="rId8" xr:uid="{54AE2076-8915-4C4D-B410-A372E6AF1AF0}"/>
    <hyperlink ref="K20" r:id="rId9" xr:uid="{0A90CC38-0DB6-487E-9D62-2317551273F2}"/>
    <hyperlink ref="K35" r:id="rId10" xr:uid="{0614F664-1FBE-4796-ACD1-AB1BAE5088E5}"/>
    <hyperlink ref="K34" r:id="rId11" xr:uid="{5790A5B5-B088-43AC-8B26-C1D7485BC650}"/>
    <hyperlink ref="K33" r:id="rId12" xr:uid="{06364B8A-214D-46BC-9A46-989498C13463}"/>
  </hyperlinks>
  <pageMargins left="0.7" right="0.7" top="0.75" bottom="0.75" header="0.3" footer="0.3"/>
  <pageSetup scale="67" fitToHeight="0" orientation="landscape" copies="0" r:id="rId13"/>
  <headerFooter>
    <oddHeader xml:space="preserve">&amp;L&amp;D
</oddHeader>
  </headerFooter>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F4F7-CF6A-43E1-9D45-F96BEEA0AA06}">
  <sheetPr>
    <pageSetUpPr fitToPage="1"/>
  </sheetPr>
  <dimension ref="A1:H42"/>
  <sheetViews>
    <sheetView rightToLeft="1" workbookViewId="0">
      <selection activeCell="G5" sqref="G5:H6"/>
    </sheetView>
  </sheetViews>
  <sheetFormatPr defaultColWidth="27.75" defaultRowHeight="14.25"/>
  <cols>
    <col min="1" max="8" width="21.625" customWidth="1"/>
  </cols>
  <sheetData>
    <row r="1" spans="1:8" ht="33.75" customHeight="1">
      <c r="A1" s="65" t="s">
        <v>185</v>
      </c>
      <c r="B1" s="66"/>
      <c r="C1" s="66"/>
      <c r="D1" s="66"/>
      <c r="E1" s="66"/>
      <c r="F1" s="66"/>
      <c r="G1" s="66"/>
      <c r="H1" s="66"/>
    </row>
    <row r="2" spans="1:8" ht="18">
      <c r="A2" s="78" t="str">
        <f ca="1">"اليوم: "&amp;TEXT(TODAY(),"[$-060401]dddd، d mmmm yyyy")&amp;" هـ  |  "&amp;TEXT(TODAY(),"[$-ar-EG]dddd، d mmmm yyyy")&amp;" م"</f>
        <v>اليوم: الثلاثاء، 3 ربيع الثاني 1448 هـ  |  الثلاثاء، 15 سبتمبر 2026 م</v>
      </c>
      <c r="B2" s="79"/>
      <c r="C2" s="79"/>
      <c r="D2" s="79"/>
      <c r="E2" s="79"/>
      <c r="F2" s="79"/>
      <c r="G2" s="79"/>
      <c r="H2" s="79"/>
    </row>
    <row r="3" spans="1:8" ht="21.75" customHeight="1">
      <c r="A3" s="67" t="s">
        <v>186</v>
      </c>
      <c r="B3" s="39"/>
      <c r="C3" s="39"/>
      <c r="D3" s="39"/>
      <c r="E3" s="39"/>
      <c r="F3" s="39"/>
      <c r="G3" s="39"/>
      <c r="H3" s="39"/>
    </row>
    <row r="4" spans="1:8" ht="26.25" customHeight="1">
      <c r="A4" s="76" t="s">
        <v>187</v>
      </c>
      <c r="B4" s="77"/>
      <c r="C4" s="60" t="s">
        <v>188</v>
      </c>
      <c r="D4" s="39"/>
      <c r="E4" s="87" t="s">
        <v>189</v>
      </c>
      <c r="F4" s="39"/>
      <c r="G4" s="38" t="s">
        <v>190</v>
      </c>
      <c r="H4" s="39"/>
    </row>
    <row r="5" spans="1:8" ht="27.75" customHeight="1">
      <c r="A5" s="58">
        <f>COUNTA(Sheet2!$B$3:$B$501)</f>
        <v>48</v>
      </c>
      <c r="B5" s="59"/>
      <c r="C5" s="61">
        <f>COUNTIF(Sheet2!$G:$G,"مكتمل*")</f>
        <v>24</v>
      </c>
      <c r="D5" s="39"/>
      <c r="E5" s="62">
        <f>$A$5-$C$5</f>
        <v>24</v>
      </c>
      <c r="F5" s="39"/>
      <c r="G5" s="40">
        <f ca="1">COUNTIFS(Sheet2!$I:$I,"&lt;"&amp;TODAY(),Sheet2!$I:$I,"&gt;0",Sheet2!$G:$G,"&lt;&gt;مكتمل*")</f>
        <v>12</v>
      </c>
      <c r="H5" s="39"/>
    </row>
    <row r="6" spans="1:8">
      <c r="A6" s="59"/>
      <c r="B6" s="59"/>
      <c r="C6" s="39"/>
      <c r="D6" s="39"/>
      <c r="E6" s="39"/>
      <c r="F6" s="39"/>
      <c r="G6" s="39"/>
      <c r="H6" s="39"/>
    </row>
    <row r="7" spans="1:8" ht="21.75" customHeight="1">
      <c r="A7" s="67" t="s">
        <v>191</v>
      </c>
      <c r="B7" s="39"/>
      <c r="C7" s="39"/>
      <c r="D7" s="39"/>
      <c r="E7" s="39"/>
      <c r="F7" s="39"/>
      <c r="G7" s="39"/>
      <c r="H7" s="39"/>
    </row>
    <row r="8" spans="1:8" ht="26.25" customHeight="1">
      <c r="A8" s="42" t="s">
        <v>192</v>
      </c>
      <c r="B8" s="43"/>
      <c r="C8" s="46" t="s">
        <v>193</v>
      </c>
      <c r="D8" s="47"/>
      <c r="E8" s="50" t="s">
        <v>194</v>
      </c>
      <c r="F8" s="51"/>
      <c r="G8" s="54" t="s">
        <v>195</v>
      </c>
      <c r="H8" s="55"/>
    </row>
    <row r="9" spans="1:8" ht="27.75" customHeight="1">
      <c r="A9" s="44">
        <f ca="1">COUNTIFS(Sheet2!$I$3:$I$26,TODAY(),Sheet2!$G$3:$G$26,"&lt;&gt;مكتمل*")</f>
        <v>1</v>
      </c>
      <c r="B9" s="44"/>
      <c r="C9" s="48">
        <f ca="1">COUNTIFS(Sheet2!$I$3:$I$26,TODAY()+1,Sheet2!$G$3:$G$26,"&lt;&gt;مكتمل*")</f>
        <v>0</v>
      </c>
      <c r="D9" s="49"/>
      <c r="E9" s="52">
        <f ca="1">COUNTIFS(Sheet2!$I$3:$I$26,"&gt;="&amp;TODAY(),Sheet2!$I$3:$I$26,"&lt;="&amp;TODAY()-WEEKDAY(TODAY(),2)+7,Sheet2!$G$3:$G$26,"&lt;&gt;مكتمل*")</f>
        <v>1</v>
      </c>
      <c r="F9" s="53"/>
      <c r="G9" s="56">
        <f ca="1">COUNTIFS(Sheet2!$I$3:$I$26,"&gt;="&amp;TODAY()-WEEKDAY(TODAY(),2)+8,Sheet2!$I$3:$I$26,"&lt;="&amp;TODAY()-WEEKDAY(TODAY(),2)+14,Sheet2!$G$3:$G$26,"&lt;&gt;مكتمل*")</f>
        <v>0</v>
      </c>
      <c r="H9" s="57"/>
    </row>
    <row r="10" spans="1:8" ht="27.75" customHeight="1">
      <c r="A10" s="44"/>
      <c r="B10" s="44"/>
      <c r="C10" s="49"/>
      <c r="D10" s="49"/>
      <c r="E10" s="53"/>
      <c r="F10" s="53"/>
      <c r="G10" s="57"/>
      <c r="H10" s="57"/>
    </row>
    <row r="11" spans="1:8" ht="21.75" customHeight="1">
      <c r="A11" s="67" t="s">
        <v>196</v>
      </c>
      <c r="B11" s="39"/>
      <c r="C11" s="39"/>
      <c r="D11" s="39"/>
      <c r="E11" s="39"/>
      <c r="F11" s="39"/>
      <c r="G11" s="39"/>
      <c r="H11" s="39"/>
    </row>
    <row r="12" spans="1:8" ht="26.25" customHeight="1">
      <c r="A12" s="68" t="s">
        <v>197</v>
      </c>
      <c r="B12" s="39"/>
      <c r="C12" s="70" t="s">
        <v>198</v>
      </c>
      <c r="D12" s="39"/>
      <c r="E12" s="72" t="s">
        <v>199</v>
      </c>
      <c r="F12" s="39"/>
      <c r="G12" s="74" t="s">
        <v>200</v>
      </c>
      <c r="H12" s="39"/>
    </row>
    <row r="13" spans="1:8" ht="27.75" customHeight="1">
      <c r="A13" s="69">
        <f ca="1">COUNTIFS(Sheet2!$I$3:$I$26,"&gt;="&amp;TODAY(),Sheet2!$I$3:$I$26,"&lt;="&amp;EOMONTH(TODAY(),0),Sheet2!$G$3:$G$26,"&lt;&gt;مكتمل*")</f>
        <v>2</v>
      </c>
      <c r="B13" s="64"/>
      <c r="C13" s="71">
        <f ca="1">COUNTIFS(Sheet2!$I$3:$I$26,"&gt;="&amp;EOMONTH(TODAY(),0)+1,Sheet2!$I$3:$I$26,"&lt;="&amp;EOMONTH(TODAY(),1),Sheet2!$G$3:$G$26,"&lt;&gt;مكتمل*")</f>
        <v>2</v>
      </c>
      <c r="D13" s="64"/>
      <c r="E13" s="73">
        <f ca="1">COUNTIFS(Sheet2!$I$3:$I$26,"&gt;"&amp;EOMONTH(TODAY(),1),Sheet2!$G$3:$G$26,"&lt;&gt;مكتمل*")</f>
        <v>0</v>
      </c>
      <c r="F13" s="64"/>
      <c r="G13" s="75">
        <f>COUNTIFS(Sheet2!$B$3:$B$26,"&lt;&gt;",Sheet2!$I$3:$I$26,"",Sheet2!$G$3:$G$26,"&lt;&gt;مكتمل*")</f>
        <v>0</v>
      </c>
      <c r="H13" s="64"/>
    </row>
    <row r="14" spans="1:8" ht="27.75" customHeight="1">
      <c r="A14" s="64"/>
      <c r="B14" s="64"/>
      <c r="C14" s="64"/>
      <c r="D14" s="64"/>
      <c r="E14" s="64"/>
      <c r="F14" s="64"/>
      <c r="G14" s="64"/>
      <c r="H14" s="64"/>
    </row>
    <row r="15" spans="1:8">
      <c r="A15" s="7"/>
      <c r="B15" s="7"/>
      <c r="C15" s="7"/>
      <c r="D15" s="7"/>
      <c r="E15" s="7"/>
      <c r="F15" s="7"/>
      <c r="G15" s="7"/>
      <c r="H15" s="7"/>
    </row>
    <row r="16" spans="1:8" ht="24" customHeight="1">
      <c r="A16" s="45" t="s">
        <v>201</v>
      </c>
      <c r="B16" s="39"/>
      <c r="C16" s="41">
        <f>IF($A$5=0,0,$C$5/$A$5)</f>
        <v>0.5</v>
      </c>
      <c r="D16" s="39"/>
      <c r="E16" s="39"/>
      <c r="F16" s="39"/>
      <c r="G16" s="39"/>
      <c r="H16" s="39"/>
    </row>
    <row r="17" spans="1:8" ht="14.25" customHeight="1">
      <c r="A17" s="7"/>
      <c r="B17" s="7"/>
      <c r="C17" s="7"/>
      <c r="D17" s="7"/>
      <c r="E17" s="7"/>
      <c r="F17" s="7"/>
      <c r="G17" s="7"/>
      <c r="H17" s="7"/>
    </row>
    <row r="18" spans="1:8" ht="21.75" hidden="1" customHeight="1">
      <c r="A18" s="67" t="s">
        <v>202</v>
      </c>
      <c r="B18" s="39"/>
      <c r="C18" s="39"/>
      <c r="D18" s="39"/>
      <c r="E18" s="7"/>
      <c r="F18" s="7"/>
      <c r="G18" s="7"/>
      <c r="H18" s="7"/>
    </row>
    <row r="19" spans="1:8" ht="15" hidden="1">
      <c r="A19" s="23" t="s">
        <v>6</v>
      </c>
      <c r="B19" s="23" t="s">
        <v>203</v>
      </c>
      <c r="C19" s="23" t="s">
        <v>204</v>
      </c>
      <c r="D19" s="7"/>
      <c r="E19" s="7"/>
      <c r="F19" s="7"/>
      <c r="G19" s="7"/>
      <c r="H19" s="7"/>
    </row>
    <row r="20" spans="1:8" hidden="1">
      <c r="A20" s="7" t="str" cm="1">
        <f t="array" ref="A20:A23">_xlfn._xlws.SORT(_xlfn.UNIQUE(_xlfn._xlws.FILTER(TRIM(Sheet2!$G$3:$G$26),Sheet2!$G$3:$G$26&lt;&gt;"")))</f>
        <v>جاري العمل</v>
      </c>
      <c r="B20" s="7" cm="1">
        <f t="array" ref="B20:B23">COUNTIF(Sheet2!$G$3:$G$26,_xlfn.ANCHORARRAY($A$20))</f>
        <v>1</v>
      </c>
      <c r="C20" s="24" cm="1">
        <f t="array" ref="C20:C23">IF($A$5=0,0,_xlfn.ANCHORARRAY($B$20)/$A$5)</f>
        <v>2.0833333333333332E-2</v>
      </c>
      <c r="D20" s="7"/>
      <c r="E20" s="7"/>
      <c r="F20" s="7"/>
      <c r="G20" s="7"/>
      <c r="H20" s="7"/>
    </row>
    <row r="21" spans="1:8" hidden="1">
      <c r="A21" s="7" t="str">
        <v>قيد الانتظار</v>
      </c>
      <c r="B21" s="7">
        <v>8</v>
      </c>
      <c r="C21" s="24">
        <v>0.16666666666666666</v>
      </c>
      <c r="D21" s="7"/>
      <c r="E21" s="7"/>
      <c r="F21" s="7"/>
      <c r="G21" s="7"/>
      <c r="H21" s="7"/>
    </row>
    <row r="22" spans="1:8" hidden="1">
      <c r="A22" s="7" t="str">
        <v>قيد التنفيذ</v>
      </c>
      <c r="B22" s="7">
        <v>1</v>
      </c>
      <c r="C22" s="24">
        <v>2.0833333333333332E-2</v>
      </c>
      <c r="D22" s="7"/>
      <c r="E22" s="7"/>
      <c r="F22" s="7"/>
      <c r="G22" s="7"/>
      <c r="H22" s="7"/>
    </row>
    <row r="23" spans="1:8" hidden="1">
      <c r="A23" s="7" t="str">
        <v>مكتمل</v>
      </c>
      <c r="B23" s="7">
        <v>14</v>
      </c>
      <c r="C23" s="24">
        <v>0.29166666666666669</v>
      </c>
      <c r="D23" s="7"/>
      <c r="E23" s="7"/>
      <c r="F23" s="7"/>
      <c r="G23" s="7"/>
      <c r="H23" s="7"/>
    </row>
    <row r="24" spans="1:8" hidden="1">
      <c r="A24" s="7"/>
      <c r="B24" s="7"/>
      <c r="C24" s="24"/>
      <c r="D24" s="7"/>
      <c r="E24" s="7"/>
      <c r="F24" s="7"/>
      <c r="G24" s="7"/>
      <c r="H24" s="7"/>
    </row>
    <row r="25" spans="1:8" hidden="1">
      <c r="A25" s="7"/>
      <c r="B25" s="7"/>
      <c r="C25" s="24"/>
      <c r="D25" s="7"/>
      <c r="E25" s="7"/>
      <c r="F25" s="7"/>
      <c r="G25" s="7"/>
      <c r="H25" s="7"/>
    </row>
    <row r="26" spans="1:8" hidden="1">
      <c r="A26" s="7"/>
      <c r="B26" s="7"/>
      <c r="C26" s="24"/>
      <c r="D26" s="7"/>
      <c r="E26" s="7"/>
      <c r="F26" s="7"/>
      <c r="G26" s="7"/>
      <c r="H26" s="7"/>
    </row>
    <row r="27" spans="1:8" hidden="1">
      <c r="A27" s="7"/>
      <c r="B27" s="7"/>
      <c r="C27" s="7"/>
      <c r="D27" s="7"/>
      <c r="E27" s="7"/>
      <c r="F27" s="7"/>
      <c r="G27" s="7"/>
      <c r="H27" s="7"/>
    </row>
    <row r="28" spans="1:8" ht="24" customHeight="1">
      <c r="A28" s="81" t="s">
        <v>205</v>
      </c>
      <c r="B28" s="39"/>
      <c r="C28" s="39"/>
      <c r="D28" s="39"/>
      <c r="E28" s="39"/>
      <c r="F28" s="39"/>
      <c r="G28" s="39"/>
      <c r="H28" s="39"/>
    </row>
    <row r="29" spans="1:8" ht="24" customHeight="1">
      <c r="A29" s="86" t="s">
        <v>21</v>
      </c>
      <c r="B29" s="86"/>
      <c r="C29" s="86"/>
      <c r="D29" s="86"/>
      <c r="E29" s="86"/>
      <c r="F29" s="86"/>
      <c r="G29" s="36" t="str">
        <f>"إجمالي المهام: "&amp;COUNTIF(Sheet2!$F$3:$F$26,"*"&amp;$A29&amp;"*")</f>
        <v>إجمالي المهام: 17</v>
      </c>
      <c r="H29" s="37"/>
    </row>
    <row r="30" spans="1:8" ht="24" customHeight="1">
      <c r="A30" s="83" t="s">
        <v>206</v>
      </c>
      <c r="B30" s="39"/>
      <c r="C30" s="84" t="s">
        <v>207</v>
      </c>
      <c r="D30" s="39"/>
      <c r="E30" s="85" t="s">
        <v>208</v>
      </c>
      <c r="F30" s="39"/>
      <c r="G30" s="80" t="s">
        <v>190</v>
      </c>
      <c r="H30" s="39"/>
    </row>
    <row r="31" spans="1:8">
      <c r="A31" s="63">
        <f>COUNTIFS(Sheet2!$F$3:$F$26,"*"&amp;$A$29&amp;"*",Sheet2!$G$3:$G$26,"مكتمل*")</f>
        <v>11</v>
      </c>
      <c r="B31" s="64"/>
      <c r="C31" s="48">
        <f ca="1">COUNTIFS(Sheet2!$F$3:$F$26,"*"&amp;$A$29&amp;"*",Sheet2!$G$3:$G$26,"&lt;&gt;مكتمل*",Sheet2!$I$3:$I$26,"&gt;="&amp;TODAY(),Sheet2!$I$3:$I$26,"&lt;="&amp;TODAY()-WEEKDAY(TODAY(),2)+7)</f>
        <v>0</v>
      </c>
      <c r="D31" s="64"/>
      <c r="E31" s="71">
        <f ca="1">COUNTIFS(Sheet2!$F$3:$F$26,"*"&amp;$A$29&amp;"*",Sheet2!$G$3:$G$26,"&lt;&gt;مكتمل*",Sheet2!$I$3:$I$26,"&gt;="&amp;EOMONTH(TODAY(),0)+1,Sheet2!$I$3:$I$26,"&lt;="&amp;EOMONTH(TODAY(),1))</f>
        <v>2</v>
      </c>
      <c r="F31" s="64"/>
      <c r="G31" s="82">
        <f ca="1">COUNTIFS(Sheet2!$F$3:$F$26,"*"&amp;$A$29&amp;"*",Sheet2!$G$3:$G$26,"&lt;&gt;مكتمل*",Sheet2!$I$3:$I$26,"&lt;"&amp;TODAY(),Sheet2!$I$3:$I$26,"&gt;0")</f>
        <v>3</v>
      </c>
      <c r="H31" s="64"/>
    </row>
    <row r="32" spans="1:8">
      <c r="A32" s="64"/>
      <c r="B32" s="64"/>
      <c r="C32" s="64"/>
      <c r="D32" s="64"/>
      <c r="E32" s="64"/>
      <c r="F32" s="64"/>
      <c r="G32" s="64"/>
      <c r="H32" s="64"/>
    </row>
    <row r="33" spans="1:8">
      <c r="A33" s="7"/>
      <c r="B33" s="7"/>
      <c r="C33" s="7"/>
      <c r="D33" s="7"/>
      <c r="E33" s="7"/>
      <c r="F33" s="7"/>
      <c r="G33" s="7"/>
      <c r="H33" s="7"/>
    </row>
    <row r="34" spans="1:8" ht="24" customHeight="1">
      <c r="A34" s="86" t="s">
        <v>23</v>
      </c>
      <c r="B34" s="86"/>
      <c r="C34" s="86"/>
      <c r="D34" s="86"/>
      <c r="E34" s="86"/>
      <c r="F34" s="86"/>
      <c r="G34" s="36" t="str">
        <f>"إجمالي المهام: "&amp;COUNTIF(Sheet2!$F$3:$F$26,"*"&amp;$A34&amp;"*")</f>
        <v>إجمالي المهام: 9</v>
      </c>
      <c r="H34" s="37"/>
    </row>
    <row r="35" spans="1:8" ht="24" customHeight="1">
      <c r="A35" s="83" t="s">
        <v>206</v>
      </c>
      <c r="B35" s="39"/>
      <c r="C35" s="84" t="s">
        <v>207</v>
      </c>
      <c r="D35" s="39"/>
      <c r="E35" s="85" t="s">
        <v>208</v>
      </c>
      <c r="F35" s="39"/>
      <c r="G35" s="80" t="s">
        <v>190</v>
      </c>
      <c r="H35" s="39"/>
    </row>
    <row r="36" spans="1:8">
      <c r="A36" s="63">
        <f>COUNTIFS(Sheet2!$F$3:$F$26,"*"&amp;$A$34&amp;"*",Sheet2!$G$3:$G$26,"مكتمل*")</f>
        <v>5</v>
      </c>
      <c r="B36" s="64"/>
      <c r="C36" s="48">
        <f ca="1">COUNTIFS(Sheet2!$F$3:$F$26,"*"&amp;$A$34&amp;"*",Sheet2!$G$3:$G$26,"&lt;&gt;مكتمل*",Sheet2!$I$3:$I$26,"&gt;="&amp;TODAY(),Sheet2!$I$3:$I$26,"&lt;="&amp;TODAY()-WEEKDAY(TODAY(),2)+7)</f>
        <v>1</v>
      </c>
      <c r="D36" s="64"/>
      <c r="E36" s="71">
        <f ca="1">COUNTIFS(Sheet2!$F$3:$F$26,"*"&amp;$A$34&amp;"*",Sheet2!$G$3:$G$26,"&lt;&gt;مكتمل*",Sheet2!$I$3:$I$26,"&gt;="&amp;EOMONTH(TODAY(),0)+1,Sheet2!$I$3:$I$26,"&lt;="&amp;EOMONTH(TODAY(),1))</f>
        <v>0</v>
      </c>
      <c r="F36" s="64"/>
      <c r="G36" s="82">
        <f ca="1">COUNTIFS(Sheet2!$F$3:$F$26,"*"&amp;$A$34&amp;"*",Sheet2!$G$3:$G$26,"&lt;&gt;مكتمل*",Sheet2!$I$3:$I$26,"&lt;"&amp;TODAY(),Sheet2!$I$3:$I$26,"&gt;0")</f>
        <v>3</v>
      </c>
      <c r="H36" s="64"/>
    </row>
    <row r="37" spans="1:8">
      <c r="A37" s="64"/>
      <c r="B37" s="64"/>
      <c r="C37" s="64"/>
      <c r="D37" s="64"/>
      <c r="E37" s="64"/>
      <c r="F37" s="64"/>
      <c r="G37" s="64"/>
      <c r="H37" s="64"/>
    </row>
    <row r="38" spans="1:8">
      <c r="A38" s="7"/>
      <c r="B38" s="7"/>
      <c r="C38" s="7"/>
      <c r="D38" s="7"/>
      <c r="E38" s="7"/>
      <c r="F38" s="7"/>
      <c r="G38" s="7"/>
      <c r="H38" s="7"/>
    </row>
    <row r="39" spans="1:8" ht="24" customHeight="1">
      <c r="A39" s="86" t="s">
        <v>155</v>
      </c>
      <c r="B39" s="86"/>
      <c r="C39" s="86"/>
      <c r="D39" s="86"/>
      <c r="E39" s="86"/>
      <c r="F39" s="86"/>
      <c r="G39" s="36" t="str">
        <f>"إجمالي المهام: "&amp;COUNTIF(Sheet2!$F$3:$F$26,"*"&amp;$A39&amp;"*")</f>
        <v>إجمالي المهام: 0</v>
      </c>
      <c r="H39" s="37"/>
    </row>
    <row r="40" spans="1:8" ht="24" customHeight="1">
      <c r="A40" s="83" t="s">
        <v>206</v>
      </c>
      <c r="B40" s="39"/>
      <c r="C40" s="84" t="s">
        <v>207</v>
      </c>
      <c r="D40" s="39"/>
      <c r="E40" s="85" t="s">
        <v>208</v>
      </c>
      <c r="F40" s="39"/>
      <c r="G40" s="80" t="s">
        <v>190</v>
      </c>
      <c r="H40" s="39"/>
    </row>
    <row r="41" spans="1:8">
      <c r="A41" s="63">
        <f>COUNTIFS(Sheet2!$F$3:$F$26,"*"&amp;$A$39&amp;"*",Sheet2!$G$3:$G$26,"مكتمل*")</f>
        <v>0</v>
      </c>
      <c r="B41" s="64"/>
      <c r="C41" s="48">
        <f ca="1">COUNTIFS(Sheet2!$F$3:$F$26,"*"&amp;$A$39&amp;"*",Sheet2!$G$3:$G$26,"&lt;&gt;مكتمل*",Sheet2!$I$3:$I$26,"&gt;="&amp;TODAY(),Sheet2!$I$3:$I$26,"&lt;="&amp;TODAY()-WEEKDAY(TODAY(),2)+7)</f>
        <v>0</v>
      </c>
      <c r="D41" s="64"/>
      <c r="E41" s="71">
        <f ca="1">COUNTIFS(Sheet2!$F$3:$F$26,"*"&amp;$A$39&amp;"*",Sheet2!$G$3:$G$26,"&lt;&gt;مكتمل*",Sheet2!$I$3:$I$26,"&gt;="&amp;EOMONTH(TODAY(),0)+1,Sheet2!$I$3:$I$26,"&lt;="&amp;EOMONTH(TODAY(),1))</f>
        <v>0</v>
      </c>
      <c r="F41" s="64"/>
      <c r="G41" s="88">
        <f ca="1">COUNTIFS(Sheet2!$F$3:$F$26,"*"&amp;$A$39&amp;"*",Sheet2!$G$3:$G$26,"&lt;&gt;مكتمل*",Sheet2!$I$3:$I$26,"&lt;"&amp;TODAY(),Sheet2!$I$3:$I$26,"&gt;0")</f>
        <v>0</v>
      </c>
      <c r="H41" s="89"/>
    </row>
    <row r="42" spans="1:8">
      <c r="A42" s="64"/>
      <c r="B42" s="64"/>
      <c r="C42" s="64"/>
      <c r="D42" s="64"/>
      <c r="E42" s="64"/>
      <c r="F42" s="64"/>
      <c r="G42" s="89"/>
      <c r="H42" s="89"/>
    </row>
  </sheetData>
  <mergeCells count="63">
    <mergeCell ref="E4:F4"/>
    <mergeCell ref="G34:H34"/>
    <mergeCell ref="A41:B42"/>
    <mergeCell ref="C41:D42"/>
    <mergeCell ref="E41:F42"/>
    <mergeCell ref="G41:H42"/>
    <mergeCell ref="A40:B40"/>
    <mergeCell ref="C40:D40"/>
    <mergeCell ref="E40:F40"/>
    <mergeCell ref="G40:H40"/>
    <mergeCell ref="C36:D37"/>
    <mergeCell ref="E36:F37"/>
    <mergeCell ref="G36:H37"/>
    <mergeCell ref="A35:B35"/>
    <mergeCell ref="A34:F34"/>
    <mergeCell ref="A39:F39"/>
    <mergeCell ref="G35:H35"/>
    <mergeCell ref="A18:D18"/>
    <mergeCell ref="A28:H28"/>
    <mergeCell ref="A31:B32"/>
    <mergeCell ref="C31:D32"/>
    <mergeCell ref="E31:F32"/>
    <mergeCell ref="G31:H32"/>
    <mergeCell ref="A30:B30"/>
    <mergeCell ref="C30:D30"/>
    <mergeCell ref="E30:F30"/>
    <mergeCell ref="G30:H30"/>
    <mergeCell ref="A29:F29"/>
    <mergeCell ref="G29:H29"/>
    <mergeCell ref="E35:F35"/>
    <mergeCell ref="C35:D35"/>
    <mergeCell ref="E5:F6"/>
    <mergeCell ref="A36:B37"/>
    <mergeCell ref="A1:H1"/>
    <mergeCell ref="A3:H3"/>
    <mergeCell ref="A7:H7"/>
    <mergeCell ref="A12:B12"/>
    <mergeCell ref="A13:B14"/>
    <mergeCell ref="C12:D12"/>
    <mergeCell ref="C13:D14"/>
    <mergeCell ref="E12:F12"/>
    <mergeCell ref="E13:F14"/>
    <mergeCell ref="G12:H12"/>
    <mergeCell ref="G13:H14"/>
    <mergeCell ref="A11:H11"/>
    <mergeCell ref="A4:B4"/>
    <mergeCell ref="A2:H2"/>
    <mergeCell ref="G39:H39"/>
    <mergeCell ref="G4:H4"/>
    <mergeCell ref="G5:H6"/>
    <mergeCell ref="C16:H16"/>
    <mergeCell ref="A8:B8"/>
    <mergeCell ref="A9:B10"/>
    <mergeCell ref="A16:B16"/>
    <mergeCell ref="C8:D8"/>
    <mergeCell ref="C9:D10"/>
    <mergeCell ref="E8:F8"/>
    <mergeCell ref="E9:F10"/>
    <mergeCell ref="G8:H8"/>
    <mergeCell ref="G9:H10"/>
    <mergeCell ref="A5:B6"/>
    <mergeCell ref="C4:D4"/>
    <mergeCell ref="C5:D6"/>
  </mergeCells>
  <conditionalFormatting sqref="C16">
    <cfRule type="dataBar" priority="1">
      <dataBar>
        <cfvo type="num" val="0"/>
        <cfvo type="num" val="1"/>
        <color rgb="FF70AD47"/>
      </dataBar>
      <extLst>
        <ext xmlns:x14="http://schemas.microsoft.com/office/spreadsheetml/2009/9/main" uri="{B025F937-C7B1-47D3-B67F-A62EFF666E3E}">
          <x14:id>{2BA5B504-59FA-4CC1-A58B-C60268A75A80}</x14:id>
        </ext>
      </extLst>
    </cfRule>
  </conditionalFormatting>
  <pageMargins left="0.25" right="0.25" top="0.75" bottom="0.75" header="0.3" footer="0.3"/>
  <pageSetup paperSize="9" orientation="landscape"/>
  <extLst>
    <ext xmlns:x14="http://schemas.microsoft.com/office/spreadsheetml/2009/9/main" uri="{78C0D931-6437-407d-A8EE-F0AAD7539E65}">
      <x14:conditionalFormattings>
        <x14:conditionalFormatting xmlns:xm="http://schemas.microsoft.com/office/excel/2006/main">
          <x14:cfRule type="dataBar" id="{2BA5B504-59FA-4CC1-A58B-C60268A75A80}">
            <x14:dataBar minLength="0" maxLength="100" direction="rightToLeft" negativeBarColorSameAsPositive="1" axisPosition="none">
              <x14:cfvo type="num">
                <xm:f>0</xm:f>
              </x14:cfvo>
              <x14:cfvo type="num">
                <xm:f>1</xm:f>
              </x14:cfvo>
            </x14:dataBar>
          </x14:cfRule>
          <xm:sqref>C16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shaarawi</dc:creator>
  <cp:keywords/>
  <dc:description/>
  <cp:lastModifiedBy/>
  <cp:revision/>
  <dcterms:created xsi:type="dcterms:W3CDTF">2026-08-13T16:47:55Z</dcterms:created>
  <dcterms:modified xsi:type="dcterms:W3CDTF">2026-09-15T13:49:17Z</dcterms:modified>
  <cp:category/>
  <cp:contentStatus/>
</cp:coreProperties>
</file>