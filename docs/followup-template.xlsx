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تابعة مشروع قارئات نُسُك" sheetId="1" state="visible" r:id="rId3"/>
  </sheets>
  <definedNames>
    <definedName function="false" hidden="false" localSheetId="0" name="_xlnm.Print_Titles" vbProcedure="false">'متابعة مشروع قارئات نُسُك'!$1:$5</definedName>
    <definedName function="false" hidden="true" localSheetId="0" name="_xlnm._FilterDatabase" vbProcedure="false">'متابعة مشروع قارئات نُسُك'!$A$5:$M$163</definedName>
  </definedNames>
  <calcPr iterateCount="100" refMode="A1" iterate="false" iterateDelta="0.0001" calcMode="auto" fullCalcOnLoad="1" calcCompleted="0" forceFullCalc="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FreeSans"/>
            <family val="2"/>
          </rPr>
          <t xml:space="preserve">خانة الإدخال الوحيدة للتواريخ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غيّر تاريخ يوم عرفة هنا فتتحرك كل مواعيد الخطة معه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<sst xmlns="http://schemas.openxmlformats.org/spreadsheetml/2006/main" count="938" uniqueCount="457">
  <si>
    <r>
      <rPr>
        <b val="true"/>
        <sz val="14"/>
        <color rgb="FFFFFFFF"/>
        <rFont val="FreeSans"/>
        <family val="2"/>
      </rPr>
      <t xml:space="preserve">متابعة مشروع قارئات نُسُك — موسم حج ‏</t>
    </r>
    <r>
      <rPr>
        <b val="true"/>
        <sz val="14"/>
        <color rgb="FFFFFFFF"/>
        <rFont val="Calibri"/>
        <family val="0"/>
        <charset val="1"/>
      </rPr>
      <t xml:space="preserve">1448‏</t>
    </r>
    <r>
      <rPr>
        <b val="true"/>
        <sz val="14"/>
        <color rgb="FFFFFFFF"/>
        <rFont val="FreeSans"/>
        <family val="2"/>
      </rPr>
      <t xml:space="preserve">هـ </t>
    </r>
    <r>
      <rPr>
        <b val="true"/>
        <sz val="14"/>
        <color rgb="FFFFFFFF"/>
        <rFont val="Calibri"/>
        <family val="0"/>
        <charset val="1"/>
      </rPr>
      <t xml:space="preserve">· </t>
    </r>
    <r>
      <rPr>
        <b val="true"/>
        <sz val="14"/>
        <color rgb="FFFFFFFF"/>
        <rFont val="FreeSans"/>
        <family val="2"/>
      </rPr>
      <t xml:space="preserve">شركة أفاق</t>
    </r>
  </si>
  <si>
    <t xml:space="preserve">المواعيد الحاكمة</t>
  </si>
  <si>
    <r>
      <rPr>
        <b val="true"/>
        <sz val="9"/>
        <color rgb="FF0A382F"/>
        <rFont val="FreeSans"/>
        <family val="2"/>
      </rPr>
      <t xml:space="preserve">يوم عرفة ‏</t>
    </r>
    <r>
      <rPr>
        <b val="true"/>
        <sz val="9"/>
        <color rgb="FF0A382F"/>
        <rFont val="Calibri"/>
        <family val="0"/>
        <charset val="1"/>
      </rPr>
      <t xml:space="preserve">1448‏</t>
    </r>
    <r>
      <rPr>
        <b val="true"/>
        <sz val="9"/>
        <color rgb="FF0A382F"/>
        <rFont val="FreeSans"/>
        <family val="2"/>
      </rPr>
      <t xml:space="preserve">هـ</t>
    </r>
  </si>
  <si>
    <r>
      <rPr>
        <b val="true"/>
        <sz val="9"/>
        <color rgb="FF0A382F"/>
        <rFont val="FreeSans"/>
        <family val="2"/>
      </rPr>
      <t xml:space="preserve">بداية رمضان ‏</t>
    </r>
    <r>
      <rPr>
        <b val="true"/>
        <sz val="9"/>
        <color rgb="FF0A382F"/>
        <rFont val="Calibri"/>
        <family val="0"/>
        <charset val="1"/>
      </rPr>
      <t xml:space="preserve">1448‏</t>
    </r>
    <r>
      <rPr>
        <b val="true"/>
        <sz val="9"/>
        <color rgb="FF0A382F"/>
        <rFont val="FreeSans"/>
        <family val="2"/>
      </rPr>
      <t xml:space="preserve">هـ</t>
    </r>
  </si>
  <si>
    <t xml:space="preserve">نهاية التنفيذ</t>
  </si>
  <si>
    <t xml:space="preserve">آخر يوم عمل</t>
  </si>
  <si>
    <t xml:space="preserve">إيقاف الأعمال</t>
  </si>
  <si>
    <t xml:space="preserve">بداية العمل الميداني</t>
  </si>
  <si>
    <t xml:space="preserve">صدور التخصيص</t>
  </si>
  <si>
    <t xml:space="preserve">أمر التوريد</t>
  </si>
  <si>
    <t xml:space="preserve">اعتماد النطاق الفني</t>
  </si>
  <si>
    <t xml:space="preserve">اعتماد الخطة</t>
  </si>
  <si>
    <t xml:space="preserve">تاريخ اليوم</t>
  </si>
  <si>
    <t xml:space="preserve">الزمن المنقضي من الخطة</t>
  </si>
  <si>
    <t xml:space="preserve">التاريخ</t>
  </si>
  <si>
    <t xml:space="preserve">المتبقي</t>
  </si>
  <si>
    <t xml:space="preserve">هيكل تقسيم العمل</t>
  </si>
  <si>
    <t xml:space="preserve">اسم المهمة</t>
  </si>
  <si>
    <t xml:space="preserve">تاريخ البدء</t>
  </si>
  <si>
    <t xml:space="preserve">تاريخ الانتهاء</t>
  </si>
  <si>
    <t xml:space="preserve">المدة</t>
  </si>
  <si>
    <t xml:space="preserve">الإنجاز</t>
  </si>
  <si>
    <t xml:space="preserve">الحالة</t>
  </si>
  <si>
    <t xml:space="preserve">الموقف الزمني</t>
  </si>
  <si>
    <t xml:space="preserve">النوع</t>
  </si>
  <si>
    <t xml:space="preserve">المسؤول</t>
  </si>
  <si>
    <t xml:space="preserve">الجهة المعنية</t>
  </si>
  <si>
    <t xml:space="preserve">ملاحظات المتابعة</t>
  </si>
  <si>
    <t xml:space="preserve">‏1</t>
  </si>
  <si>
    <t xml:space="preserve">إدارة المشروع والحوكمة</t>
  </si>
  <si>
    <t xml:space="preserve">مهمة</t>
  </si>
  <si>
    <t xml:space="preserve">محمد صفوت — مدير المشروع</t>
  </si>
  <si>
    <t xml:space="preserve">أفاقي</t>
  </si>
  <si>
    <t xml:space="preserve">‏1.1</t>
  </si>
  <si>
    <t xml:space="preserve">وثائق التخطيط والاعتماد</t>
  </si>
  <si>
    <t xml:space="preserve">مكتب إدارة المشروع</t>
  </si>
  <si>
    <t xml:space="preserve">‏1.1.1</t>
  </si>
  <si>
    <r>
      <rPr>
        <sz val="11"/>
        <color rgb="FF000000"/>
        <rFont val="FreeSans"/>
        <family val="2"/>
      </rPr>
      <t xml:space="preserve">الخطة التفصيلية للمشروع — سبع مراحل و‏</t>
    </r>
    <r>
      <rPr>
        <sz val="11"/>
        <color rgb="FF000000"/>
        <rFont val="Calibri"/>
        <family val="0"/>
        <charset val="1"/>
      </rPr>
      <t xml:space="preserve">36‏ </t>
    </r>
    <r>
      <rPr>
        <sz val="11"/>
        <color rgb="FF000000"/>
        <rFont val="FreeSans"/>
        <family val="2"/>
      </rPr>
      <t xml:space="preserve">بندًا و‏</t>
    </r>
    <r>
      <rPr>
        <sz val="11"/>
        <color rgb="FF000000"/>
        <rFont val="Calibri"/>
        <family val="0"/>
        <charset val="1"/>
      </rPr>
      <t xml:space="preserve">15‏ </t>
    </r>
    <r>
      <rPr>
        <sz val="11"/>
        <color rgb="FF000000"/>
        <rFont val="FreeSans"/>
        <family val="2"/>
      </rPr>
      <t xml:space="preserve">معلمًا</t>
    </r>
  </si>
  <si>
    <t xml:space="preserve">مرجع المواعيد لكل ما يليه</t>
  </si>
  <si>
    <t xml:space="preserve">‏1.1.2</t>
  </si>
  <si>
    <t xml:space="preserve">سجل الافتراضات وخطة المواقع الأحد عشر</t>
  </si>
  <si>
    <t xml:space="preserve">كل بند غير محسوم مثبَّت كافتراض بجهة مسؤولة</t>
  </si>
  <si>
    <t xml:space="preserve">‏1.1.3</t>
  </si>
  <si>
    <t xml:space="preserve">برنامج أعمال أغسطس وملف المتابعة الأسبوعي</t>
  </si>
  <si>
    <t xml:space="preserve">‏1.1.4</t>
  </si>
  <si>
    <t xml:space="preserve">الدليل الكامل للمشروع وعرضه على الوزارة</t>
  </si>
  <si>
    <t xml:space="preserve">أفاقي والوزارة</t>
  </si>
  <si>
    <r>
      <rPr>
        <sz val="10"/>
        <color rgb="FF595959"/>
        <rFont val="FreeSans"/>
        <family val="2"/>
      </rPr>
      <t xml:space="preserve">يتضمن ‏</t>
    </r>
    <r>
      <rPr>
        <sz val="10"/>
        <color rgb="FF595959"/>
        <rFont val="Calibri"/>
        <family val="0"/>
        <charset val="1"/>
      </rPr>
      <t xml:space="preserve">21‏ </t>
    </r>
    <r>
      <rPr>
        <sz val="10"/>
        <color rgb="FF595959"/>
        <rFont val="FreeSans"/>
        <family val="2"/>
      </rPr>
      <t xml:space="preserve">شريحة تشمل الفرق والمواقع والمخاطر</t>
    </r>
  </si>
  <si>
    <t xml:space="preserve">‏1.2</t>
  </si>
  <si>
    <t xml:space="preserve">اعتماد الخطة كمرجع للمواعيد</t>
  </si>
  <si>
    <t xml:space="preserve">معلم</t>
  </si>
  <si>
    <t xml:space="preserve">الوزارة</t>
  </si>
  <si>
    <t xml:space="preserve">نقطة قرار — تفتح باقي المسار</t>
  </si>
  <si>
    <t xml:space="preserve">‏1.3</t>
  </si>
  <si>
    <t xml:space="preserve">إيقاع التقارير والمراجعة</t>
  </si>
  <si>
    <t xml:space="preserve">‏1.3.1</t>
  </si>
  <si>
    <t xml:space="preserve">التقرير اليومي من لوحة المتابعة إلى مجموعة العمل</t>
  </si>
  <si>
    <t xml:space="preserve">فريق العمليات</t>
  </si>
  <si>
    <t xml:space="preserve">سباقا المسح والتركيب والمعدل اليومي مقابل المطلوب</t>
  </si>
  <si>
    <t xml:space="preserve">‏1.3.2</t>
  </si>
  <si>
    <t xml:space="preserve">الملخص التنفيذي الأسبوعي للوزارة</t>
  </si>
  <si>
    <t xml:space="preserve">سطرا إنجاز ومخاطر مع كل ملخص</t>
  </si>
  <si>
    <t xml:space="preserve">‏1.3.3</t>
  </si>
  <si>
    <t xml:space="preserve">مراجعة سجل المخاطر في جلسة الإدارة الأسبوعية</t>
  </si>
  <si>
    <t xml:space="preserve">يُراجع في كل جلسة دون استثناء</t>
  </si>
  <si>
    <t xml:space="preserve">‏1.3.4</t>
  </si>
  <si>
    <t xml:space="preserve">تحديث سجل القرارات وجدول الإصدارات</t>
  </si>
  <si>
    <t xml:space="preserve">كل قرار له صف بجذره</t>
  </si>
  <si>
    <t xml:space="preserve">‏2</t>
  </si>
  <si>
    <t xml:space="preserve">تثبيت النطاق والمواصفة الفنية</t>
  </si>
  <si>
    <t xml:space="preserve">الوزارة والجهات</t>
  </si>
  <si>
    <t xml:space="preserve">‏2.1</t>
  </si>
  <si>
    <t xml:space="preserve">حسم الكميات وأعداد النقاط</t>
  </si>
  <si>
    <t xml:space="preserve">فريق المساحة</t>
  </si>
  <si>
    <t xml:space="preserve">الوزارة والتفويج</t>
  </si>
  <si>
    <t xml:space="preserve">‏2.1.1</t>
  </si>
  <si>
    <t xml:space="preserve">أعداد نقاط الرصد وعدد الغرف لكل مخيم</t>
  </si>
  <si>
    <t xml:space="preserve">الوزارة وإدارة التفويج</t>
  </si>
  <si>
    <t xml:space="preserve">يحكم الكميات والتسعير وتوزيع الفرق</t>
  </si>
  <si>
    <t xml:space="preserve">‏2.1.2</t>
  </si>
  <si>
    <t xml:space="preserve">عدد أبواب المسجد الحرام</t>
  </si>
  <si>
    <t xml:space="preserve">هيئة العناية</t>
  </si>
  <si>
    <r>
      <rPr>
        <sz val="10"/>
        <color rgb="FF595959"/>
        <rFont val="FreeSans"/>
        <family val="2"/>
      </rPr>
      <t xml:space="preserve">قراءتان قائمتان</t>
    </r>
    <r>
      <rPr>
        <sz val="10"/>
        <color rgb="FF595959"/>
        <rFont val="Calibri"/>
        <family val="0"/>
        <charset val="1"/>
      </rPr>
      <t xml:space="preserve">: ‏60‏ </t>
    </r>
    <r>
      <rPr>
        <sz val="10"/>
        <color rgb="FF595959"/>
        <rFont val="FreeSans"/>
        <family val="2"/>
      </rPr>
      <t xml:space="preserve">و‏</t>
    </r>
    <r>
      <rPr>
        <sz val="10"/>
        <color rgb="FF595959"/>
        <rFont val="Calibri"/>
        <family val="0"/>
        <charset val="1"/>
      </rPr>
      <t xml:space="preserve">150‏ </t>
    </r>
    <r>
      <rPr>
        <sz val="10"/>
        <color rgb="FF595959"/>
        <rFont val="FreeSans"/>
        <family val="2"/>
      </rPr>
      <t xml:space="preserve">بابًا</t>
    </r>
  </si>
  <si>
    <t xml:space="preserve">‏2.1.3</t>
  </si>
  <si>
    <t xml:space="preserve">معيار نقاط ممرات منى</t>
  </si>
  <si>
    <r>
      <rPr>
        <sz val="10"/>
        <color rgb="FF595959"/>
        <rFont val="FreeSans"/>
        <family val="2"/>
      </rPr>
      <t xml:space="preserve">قراءتان قائمتان</t>
    </r>
    <r>
      <rPr>
        <sz val="10"/>
        <color rgb="FF595959"/>
        <rFont val="Calibri"/>
        <family val="0"/>
        <charset val="1"/>
      </rPr>
      <t xml:space="preserve">: ‏100‏ </t>
    </r>
    <r>
      <rPr>
        <sz val="10"/>
        <color rgb="FF595959"/>
        <rFont val="FreeSans"/>
        <family val="2"/>
      </rPr>
      <t xml:space="preserve">و‏</t>
    </r>
    <r>
      <rPr>
        <sz val="10"/>
        <color rgb="FF595959"/>
        <rFont val="Calibri"/>
        <family val="0"/>
        <charset val="1"/>
      </rPr>
      <t xml:space="preserve">259‏ </t>
    </r>
    <r>
      <rPr>
        <sz val="10"/>
        <color rgb="FF595959"/>
        <rFont val="FreeSans"/>
        <family val="2"/>
      </rPr>
      <t xml:space="preserve">نقطة</t>
    </r>
  </si>
  <si>
    <t xml:space="preserve">‏2.1.4</t>
  </si>
  <si>
    <t xml:space="preserve">حصر مواقع كاميرات الوزارة القائمة والجديدة</t>
  </si>
  <si>
    <r>
      <rPr>
        <sz val="10"/>
        <color rgb="FF595959"/>
        <rFont val="FreeSans"/>
        <family val="2"/>
      </rPr>
      <t xml:space="preserve">بالتنسيق مع م</t>
    </r>
    <r>
      <rPr>
        <sz val="10"/>
        <color rgb="FF595959"/>
        <rFont val="Calibri"/>
        <family val="0"/>
        <charset val="1"/>
      </rPr>
      <t xml:space="preserve">. </t>
    </r>
    <r>
      <rPr>
        <sz val="10"/>
        <color rgb="FF595959"/>
        <rFont val="FreeSans"/>
        <family val="2"/>
      </rPr>
      <t xml:space="preserve">محمد منشي</t>
    </r>
  </si>
  <si>
    <t xml:space="preserve">‏2.2</t>
  </si>
  <si>
    <t xml:space="preserve">المواصفة الفنية والمعايرة</t>
  </si>
  <si>
    <t xml:space="preserve">فريق البرمجيات والتكامل</t>
  </si>
  <si>
    <t xml:space="preserve">‏2.2.1</t>
  </si>
  <si>
    <t xml:space="preserve">اعتماد نوع الحساسات ومستهدفات الدقة</t>
  </si>
  <si>
    <t xml:space="preserve">بالتنسيق مع مهندس اياز — يسبق أمر التوريد</t>
  </si>
  <si>
    <t xml:space="preserve">‏2.2.2</t>
  </si>
  <si>
    <r>
      <rPr>
        <sz val="11"/>
        <color rgb="FF000000"/>
        <rFont val="FreeSans"/>
        <family val="2"/>
      </rPr>
      <t xml:space="preserve">معايرة النظام على عيّنة تسجيلات موسم ‏</t>
    </r>
    <r>
      <rPr>
        <sz val="11"/>
        <color rgb="FF000000"/>
        <rFont val="Calibri"/>
        <family val="0"/>
        <charset val="1"/>
      </rPr>
      <t xml:space="preserve">1447‏</t>
    </r>
    <r>
      <rPr>
        <sz val="11"/>
        <color rgb="FF000000"/>
        <rFont val="FreeSans"/>
        <family val="2"/>
      </rPr>
      <t xml:space="preserve">هـ</t>
    </r>
  </si>
  <si>
    <t xml:space="preserve">تُغلق بند المعايرة قبل تثبيت المواصفة</t>
  </si>
  <si>
    <t xml:space="preserve">‏2.3</t>
  </si>
  <si>
    <t xml:space="preserve">التمكين والتصاريح</t>
  </si>
  <si>
    <t xml:space="preserve">الوزارة وإدارة الحشود</t>
  </si>
  <si>
    <t xml:space="preserve">‏2.3.1</t>
  </si>
  <si>
    <r>
      <rPr>
        <sz val="11"/>
        <color rgb="FF000000"/>
        <rFont val="FreeSans"/>
        <family val="2"/>
      </rPr>
      <t xml:space="preserve">التأكيد الرسمي لتاريخ يوم عرفة ‏</t>
    </r>
    <r>
      <rPr>
        <sz val="11"/>
        <color rgb="FF000000"/>
        <rFont val="Calibri"/>
        <family val="0"/>
        <charset val="1"/>
      </rPr>
      <t xml:space="preserve">1448‏</t>
    </r>
    <r>
      <rPr>
        <sz val="11"/>
        <color rgb="FF000000"/>
        <rFont val="FreeSans"/>
        <family val="2"/>
      </rPr>
      <t xml:space="preserve">هـ</t>
    </r>
  </si>
  <si>
    <t xml:space="preserve">وزارة الحج والعمرة</t>
  </si>
  <si>
    <t xml:space="preserve">كل تواريخ الخطة مشتقة منه</t>
  </si>
  <si>
    <t xml:space="preserve">‏2.3.2</t>
  </si>
  <si>
    <t xml:space="preserve">تصاريح الدخول الدائمة لفريق المشروع طوال الموسم</t>
  </si>
  <si>
    <t xml:space="preserve">إدارة الحشود</t>
  </si>
  <si>
    <t xml:space="preserve">تُمكِّن المسح والتصميم والتركيب معًا</t>
  </si>
  <si>
    <t xml:space="preserve">‏2.4</t>
  </si>
  <si>
    <t xml:space="preserve">اعتماد النطاق الفني النهائي</t>
  </si>
  <si>
    <t xml:space="preserve">نقطة قرار — تُغلق قبل التعميد</t>
  </si>
  <si>
    <t xml:space="preserve">‏3</t>
  </si>
  <si>
    <t xml:space="preserve">التوريد والتعاقد</t>
  </si>
  <si>
    <t xml:space="preserve">فريق التوريد</t>
  </si>
  <si>
    <t xml:space="preserve">الوزارة والمورّدون</t>
  </si>
  <si>
    <t xml:space="preserve">‏3.1</t>
  </si>
  <si>
    <t xml:space="preserve">متطلبات ما قبل التعميد</t>
  </si>
  <si>
    <t xml:space="preserve">‏3.1.1</t>
  </si>
  <si>
    <t xml:space="preserve">اعتماد الميزانية وتصاريح الأعمال المدنية</t>
  </si>
  <si>
    <t xml:space="preserve">يسبق إصدار أوامر الشراء</t>
  </si>
  <si>
    <t xml:space="preserve">‏3.1.2</t>
  </si>
  <si>
    <t xml:space="preserve">تأكيد مدد التصنيع والشحن والتخليص كتابيًا</t>
  </si>
  <si>
    <t xml:space="preserve">‏3.2</t>
  </si>
  <si>
    <t xml:space="preserve">التعميد وإصدار أوامر الشراء</t>
  </si>
  <si>
    <t xml:space="preserve">نقطة قرار حاكمة — تحكم وصول الأجهزة</t>
  </si>
  <si>
    <t xml:space="preserve">‏3.3</t>
  </si>
  <si>
    <t xml:space="preserve">دورة التوريد</t>
  </si>
  <si>
    <t xml:space="preserve">المورّدون</t>
  </si>
  <si>
    <t xml:space="preserve">‏3.3.1</t>
  </si>
  <si>
    <t xml:space="preserve">التصنيع والشحن والتخليص الجمركي</t>
  </si>
  <si>
    <r>
      <rPr>
        <b val="true"/>
        <sz val="11"/>
        <color rgb="FF0E4C3F"/>
        <rFont val="FreeSans"/>
        <family val="2"/>
      </rPr>
      <t xml:space="preserve">مهلة ‏</t>
    </r>
    <r>
      <rPr>
        <b val="true"/>
        <sz val="11"/>
        <color rgb="FF0E4C3F"/>
        <rFont val="Calibri"/>
        <family val="0"/>
        <charset val="1"/>
      </rPr>
      <t xml:space="preserve">61‏ </t>
    </r>
    <r>
      <rPr>
        <b val="true"/>
        <sz val="11"/>
        <color rgb="FF0E4C3F"/>
        <rFont val="FreeSans"/>
        <family val="2"/>
      </rPr>
      <t xml:space="preserve">يومًا تقويميًا وفق المعتمد</t>
    </r>
  </si>
  <si>
    <t xml:space="preserve">‏3.3.1.1</t>
  </si>
  <si>
    <t xml:space="preserve">التصنيع لدى المورّد</t>
  </si>
  <si>
    <t xml:space="preserve">‏3.3.1.2</t>
  </si>
  <si>
    <t xml:space="preserve">الشحن والنقل الدولي</t>
  </si>
  <si>
    <t xml:space="preserve">‏3.3.1.3</t>
  </si>
  <si>
    <t xml:space="preserve">التخليص الجمركي</t>
  </si>
  <si>
    <t xml:space="preserve">‏3.3.1.4</t>
  </si>
  <si>
    <t xml:space="preserve">النقل إلى مستودع المشروع</t>
  </si>
  <si>
    <t xml:space="preserve">‏3.3.2</t>
  </si>
  <si>
    <t xml:space="preserve">الاستلام ومطابقة المواصفات والترقيم والتخزين</t>
  </si>
  <si>
    <t xml:space="preserve">‏3.3.2.1</t>
  </si>
  <si>
    <t xml:space="preserve">فحص المطابقة على عيّنات من كل دفعة</t>
  </si>
  <si>
    <t xml:space="preserve">فريق الجودة والاختبار</t>
  </si>
  <si>
    <t xml:space="preserve">‏3.3.2.2</t>
  </si>
  <si>
    <t xml:space="preserve">الترقيم وتسجيل عناوين الأجهزة الثلاثة</t>
  </si>
  <si>
    <t xml:space="preserve">راوتر وقارئ وكاميرا لكل نقطة</t>
  </si>
  <si>
    <t xml:space="preserve">‏3.3.2.3</t>
  </si>
  <si>
    <t xml:space="preserve">التخزين وتجهيز العُهدة لفرق التركيب</t>
  </si>
  <si>
    <t xml:space="preserve">‏3.4</t>
  </si>
  <si>
    <t xml:space="preserve">وصول الأجهزة واكتمال المطابقة</t>
  </si>
  <si>
    <t xml:space="preserve">يلتقي مع جاهزية المواقع في التاريخ نفسه</t>
  </si>
  <si>
    <t xml:space="preserve">‏4</t>
  </si>
  <si>
    <t xml:space="preserve">البنية التقنية والمنظومة البرمجية</t>
  </si>
  <si>
    <t xml:space="preserve">الوزارة وعلم</t>
  </si>
  <si>
    <t xml:space="preserve">‏4.1</t>
  </si>
  <si>
    <t xml:space="preserve">اعتماد بيئة الاستضافة النهائية</t>
  </si>
  <si>
    <t xml:space="preserve">نقطة قرار — تحدد مسار الربط والتكامل</t>
  </si>
  <si>
    <t xml:space="preserve">‏4.2</t>
  </si>
  <si>
    <t xml:space="preserve">التطوير والتهيئة</t>
  </si>
  <si>
    <t xml:space="preserve">‏4.2.1</t>
  </si>
  <si>
    <t xml:space="preserve">تهيئة البيئة وقواعد البيانات وضوابط الأمن</t>
  </si>
  <si>
    <t xml:space="preserve">أفاقي وعلم</t>
  </si>
  <si>
    <t xml:space="preserve">‏4.2.2</t>
  </si>
  <si>
    <t xml:space="preserve">تطوير وحدة الربط والتكامل مع منصة نُسُك</t>
  </si>
  <si>
    <t xml:space="preserve">‏4.2.3</t>
  </si>
  <si>
    <t xml:space="preserve">لوحة المراقبة والتحكم وتقارير القراءات</t>
  </si>
  <si>
    <t xml:space="preserve">‏4.2.4</t>
  </si>
  <si>
    <t xml:space="preserve">اختبار التكامل الداخلي واختبارات الأمن السيبراني</t>
  </si>
  <si>
    <t xml:space="preserve">‏4.3</t>
  </si>
  <si>
    <t xml:space="preserve">جاهزية المنظومة البرمجية للربط الميداني</t>
  </si>
  <si>
    <t xml:space="preserve">‏5</t>
  </si>
  <si>
    <t xml:space="preserve">التخصيص وجاهزية المواقع</t>
  </si>
  <si>
    <t xml:space="preserve">التفويج وكدانة</t>
  </si>
  <si>
    <t xml:space="preserve">‏5.1</t>
  </si>
  <si>
    <t xml:space="preserve">متطلبات ما قبل التخصيص</t>
  </si>
  <si>
    <t xml:space="preserve">كدانة والوزارة</t>
  </si>
  <si>
    <t xml:space="preserve">‏5.1.1</t>
  </si>
  <si>
    <t xml:space="preserve">اعتماد نموذج الإطار المعدني وحسم الارتفاع والحماية</t>
  </si>
  <si>
    <t xml:space="preserve">فريق التصميم</t>
  </si>
  <si>
    <t xml:space="preserve">شركات الخدمة لا تبدأ التصنيع قبله</t>
  </si>
  <si>
    <t xml:space="preserve">‏5.1.2</t>
  </si>
  <si>
    <t xml:space="preserve">إدراج مهلة الشهر الكامل لشركات الخدمة ضمن عقود التخصيص</t>
  </si>
  <si>
    <t xml:space="preserve">تحمي تسلسل التركيب</t>
  </si>
  <si>
    <t xml:space="preserve">‏5.1.3</t>
  </si>
  <si>
    <t xml:space="preserve">تثبيت ضوابط إيقاف الأعمال ودخول المشاعر كتابيًا</t>
  </si>
  <si>
    <t xml:space="preserve">كدانة وإدارة الحشود</t>
  </si>
  <si>
    <t xml:space="preserve">‏5.2</t>
  </si>
  <si>
    <t xml:space="preserve">صدور تخصيص المخيمات</t>
  </si>
  <si>
    <t xml:space="preserve">إدارة التفويج</t>
  </si>
  <si>
    <t xml:space="preserve">نقطة قرار حاكمة — تفتح إنشاءات المخيمات</t>
  </si>
  <si>
    <t xml:space="preserve">‏5.3</t>
  </si>
  <si>
    <t xml:space="preserve">أعمال شركات الخدمة والتهيئة</t>
  </si>
  <si>
    <t xml:space="preserve">شركات الخدمة</t>
  </si>
  <si>
    <t xml:space="preserve">كدانة والجهات الخدمية</t>
  </si>
  <si>
    <t xml:space="preserve">‏5.3.1</t>
  </si>
  <si>
    <t xml:space="preserve">إنشاءات شركات الخدمة وتركيب الإطارات المعدنية</t>
  </si>
  <si>
    <t xml:space="preserve">مهلة شهر كامل بعد التخصيص</t>
  </si>
  <si>
    <t xml:space="preserve">‏5.3.1.1</t>
  </si>
  <si>
    <t xml:space="preserve">تسليم المخططات ومواقع الإطارات لشركات الخدمة</t>
  </si>
  <si>
    <t xml:space="preserve">‏5.3.1.2</t>
  </si>
  <si>
    <t xml:space="preserve">تصنيع الإطارات المعدنية</t>
  </si>
  <si>
    <t xml:space="preserve">‏5.3.1.3</t>
  </si>
  <si>
    <t xml:space="preserve">تركيب الإطارات في المخيمات</t>
  </si>
  <si>
    <t xml:space="preserve">‏5.3.2</t>
  </si>
  <si>
    <t xml:space="preserve">توفير الطاقة والشبكة عند كل نقطة رصد</t>
  </si>
  <si>
    <t xml:space="preserve">شركات الخدمة عبر الوزارة</t>
  </si>
  <si>
    <t xml:space="preserve">تُجنّب نقاطًا مركّبة وغير مشغّلة</t>
  </si>
  <si>
    <t xml:space="preserve">‏5.3.3</t>
  </si>
  <si>
    <t xml:space="preserve">اعتماد جدول نوافذ العمل بمحطات القطار</t>
  </si>
  <si>
    <t xml:space="preserve">شركة سار</t>
  </si>
  <si>
    <t xml:space="preserve">‏5.4</t>
  </si>
  <si>
    <t xml:space="preserve">محاضر جاهزية المواقع قبل دخول الفرق</t>
  </si>
  <si>
    <t xml:space="preserve">شرط دخول كل موقع</t>
  </si>
  <si>
    <t xml:space="preserve">‏6</t>
  </si>
  <si>
    <t xml:space="preserve">التركيب الميداني والربط</t>
  </si>
  <si>
    <t xml:space="preserve">فرق التركيب الميدانية</t>
  </si>
  <si>
    <t xml:space="preserve">‏6.1</t>
  </si>
  <si>
    <t xml:space="preserve">بدء التركيب الميداني</t>
  </si>
  <si>
    <t xml:space="preserve">نقطة التقاء مسار التوريد ومسار التخصيص</t>
  </si>
  <si>
    <t xml:space="preserve">‏6.2</t>
  </si>
  <si>
    <t xml:space="preserve">التركيب حسب الموقع</t>
  </si>
  <si>
    <r>
      <rPr>
        <b val="true"/>
        <sz val="11"/>
        <color rgb="FF0E4C3F"/>
        <rFont val="FreeSans"/>
        <family val="2"/>
      </rPr>
      <t xml:space="preserve">إجمالي ‏</t>
    </r>
    <r>
      <rPr>
        <b val="true"/>
        <sz val="11"/>
        <color rgb="FF0E4C3F"/>
        <rFont val="Calibri"/>
        <family val="0"/>
        <charset val="1"/>
      </rPr>
      <t xml:space="preserve">1963‏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‏40‏ </t>
    </r>
    <r>
      <rPr>
        <b val="true"/>
        <sz val="11"/>
        <color rgb="FF0E4C3F"/>
        <rFont val="FreeSans"/>
        <family val="2"/>
      </rPr>
      <t xml:space="preserve">فريقًا </t>
    </r>
    <r>
      <rPr>
        <b val="true"/>
        <sz val="11"/>
        <color rgb="FF0E4C3F"/>
        <rFont val="Calibri"/>
        <family val="0"/>
        <charset val="1"/>
      </rPr>
      <t xml:space="preserve">· ‏148‏ </t>
    </r>
    <r>
      <rPr>
        <b val="true"/>
        <sz val="11"/>
        <color rgb="FF0E4C3F"/>
        <rFont val="FreeSans"/>
        <family val="2"/>
      </rPr>
      <t xml:space="preserve">فنيًا حسب ملف الأرقام — قراءة أخرى ‏</t>
    </r>
    <r>
      <rPr>
        <b val="true"/>
        <sz val="11"/>
        <color rgb="FF0E4C3F"/>
        <rFont val="Calibri"/>
        <family val="0"/>
        <charset val="1"/>
      </rPr>
      <t xml:space="preserve">1787‏ </t>
    </r>
    <r>
      <rPr>
        <b val="true"/>
        <sz val="11"/>
        <color rgb="FF0E4C3F"/>
        <rFont val="FreeSans"/>
        <family val="2"/>
      </rPr>
      <t xml:space="preserve">نقطة مثبتة كبند تعارض مصادر</t>
    </r>
  </si>
  <si>
    <t xml:space="preserve">‏6.2.1</t>
  </si>
  <si>
    <r>
      <rPr>
        <b val="true"/>
        <sz val="11"/>
        <color rgb="FF0E4C3F"/>
        <rFont val="FreeSans"/>
        <family val="2"/>
      </rPr>
      <t xml:space="preserve">مخيمات منى — ‏</t>
    </r>
    <r>
      <rPr>
        <b val="true"/>
        <sz val="11"/>
        <color rgb="FF0E4C3F"/>
        <rFont val="Calibri"/>
        <family val="0"/>
        <charset val="1"/>
      </rPr>
      <t xml:space="preserve">700‏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‏12‏ </t>
    </r>
    <r>
      <rPr>
        <b val="true"/>
        <sz val="11"/>
        <color rgb="FF0E4C3F"/>
        <rFont val="FreeSans"/>
        <family val="2"/>
      </rPr>
      <t xml:space="preserve">فريقًا </t>
    </r>
    <r>
      <rPr>
        <b val="true"/>
        <sz val="11"/>
        <color rgb="FF0E4C3F"/>
        <rFont val="Calibri"/>
        <family val="0"/>
        <charset val="1"/>
      </rPr>
      <t xml:space="preserve">· ‏48‏ </t>
    </r>
    <r>
      <rPr>
        <b val="true"/>
        <sz val="11"/>
        <color rgb="FF0E4C3F"/>
        <rFont val="FreeSans"/>
        <family val="2"/>
      </rPr>
      <t xml:space="preserve">فنيًا</t>
    </r>
  </si>
  <si>
    <t xml:space="preserve">فريق التركيب — منى</t>
  </si>
  <si>
    <t xml:space="preserve">مرتبط بالتخصيص — الإطار المعدني خارج نطاق أفاقي</t>
  </si>
  <si>
    <t xml:space="preserve">‏6.2.1.1</t>
  </si>
  <si>
    <t xml:space="preserve">مخيمات منى — المسح الميداني وتسجيل مصدر التيار وساعات التشغيل ومسار الكابل</t>
  </si>
  <si>
    <t xml:space="preserve">الملاءمة المتعذّرة تُكتب بسببها لتظل قابلة للمراجعة</t>
  </si>
  <si>
    <t xml:space="preserve">‏6.2.1.2</t>
  </si>
  <si>
    <t xml:space="preserve">مخيمات منى — جدولة النقاط وتوزيع الفرق وصرف العُهدة</t>
  </si>
  <si>
    <t xml:space="preserve">لا نقطة تدخل التركيب بنقصٍ في المسح</t>
  </si>
  <si>
    <t xml:space="preserve">‏6.2.1.3</t>
  </si>
  <si>
    <t xml:space="preserve">مخيمات منى — التركيب الميكانيكي وتمديد الطاقة والكابل المحمي بمساره</t>
  </si>
  <si>
    <t xml:space="preserve">عبور ممرات المشاة يستوجب تثبيتًا علويًا أو مجرى</t>
  </si>
  <si>
    <t xml:space="preserve">‏6.2.1.4</t>
  </si>
  <si>
    <t xml:space="preserve">مخيمات منى — تسجيل عناوين الراوتر والقارئ والكاميرا والنبضة الأولى وصور ما بعد التركيب</t>
  </si>
  <si>
    <r>
      <rPr>
        <sz val="10"/>
        <color rgb="FF595959"/>
        <rFont val="FreeSans"/>
        <family val="2"/>
      </rPr>
      <t xml:space="preserve">قائمة الاعتماد قبل وسم </t>
    </r>
    <r>
      <rPr>
        <sz val="10"/>
        <color rgb="FF595959"/>
        <rFont val="Calibri"/>
        <family val="0"/>
        <charset val="1"/>
      </rPr>
      <t xml:space="preserve">«</t>
    </r>
    <r>
      <rPr>
        <sz val="10"/>
        <color rgb="FF595959"/>
        <rFont val="FreeSans"/>
        <family val="2"/>
      </rPr>
      <t xml:space="preserve">تم التركيب</t>
    </r>
    <r>
      <rPr>
        <sz val="10"/>
        <color rgb="FF595959"/>
        <rFont val="Calibri"/>
        <family val="0"/>
        <charset val="1"/>
      </rPr>
      <t xml:space="preserve">»</t>
    </r>
  </si>
  <si>
    <t xml:space="preserve">‏6.2.1.5</t>
  </si>
  <si>
    <t xml:space="preserve">مخيمات منى — اعتماد النقاط وتسليم الموقع بمحضر جاهزية</t>
  </si>
  <si>
    <t xml:space="preserve">بوابة عبور إلى مرحلة التشغيل</t>
  </si>
  <si>
    <t xml:space="preserve">‏6.2.2</t>
  </si>
  <si>
    <r>
      <rPr>
        <b val="true"/>
        <sz val="11"/>
        <color rgb="FF0E4C3F"/>
        <rFont val="FreeSans"/>
        <family val="2"/>
      </rPr>
      <t xml:space="preserve">مخيمات عرفات — ‏</t>
    </r>
    <r>
      <rPr>
        <b val="true"/>
        <sz val="11"/>
        <color rgb="FF0E4C3F"/>
        <rFont val="Calibri"/>
        <family val="0"/>
        <charset val="1"/>
      </rPr>
      <t xml:space="preserve">700‏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‏12‏ </t>
    </r>
    <r>
      <rPr>
        <b val="true"/>
        <sz val="11"/>
        <color rgb="FF0E4C3F"/>
        <rFont val="FreeSans"/>
        <family val="2"/>
      </rPr>
      <t xml:space="preserve">فريقًا </t>
    </r>
    <r>
      <rPr>
        <b val="true"/>
        <sz val="11"/>
        <color rgb="FF0E4C3F"/>
        <rFont val="Calibri"/>
        <family val="0"/>
        <charset val="1"/>
      </rPr>
      <t xml:space="preserve">· ‏36‏ </t>
    </r>
    <r>
      <rPr>
        <b val="true"/>
        <sz val="11"/>
        <color rgb="FF0E4C3F"/>
        <rFont val="FreeSans"/>
        <family val="2"/>
      </rPr>
      <t xml:space="preserve">فنيًا</t>
    </r>
  </si>
  <si>
    <t xml:space="preserve">فريق التركيب — عرفات</t>
  </si>
  <si>
    <t xml:space="preserve">‏6.2.2.1</t>
  </si>
  <si>
    <t xml:space="preserve">مخيمات عرفات — المسح الميداني وتسجيل مصدر التيار وساعات التشغيل ومسار الكابل</t>
  </si>
  <si>
    <t xml:space="preserve">‏6.2.2.2</t>
  </si>
  <si>
    <t xml:space="preserve">مخيمات عرفات — جدولة النقاط وتوزيع الفرق وصرف العُهدة</t>
  </si>
  <si>
    <t xml:space="preserve">‏6.2.2.3</t>
  </si>
  <si>
    <t xml:space="preserve">مخيمات عرفات — التركيب الميكانيكي وتمديد الطاقة والكابل المحمي بمساره</t>
  </si>
  <si>
    <t xml:space="preserve">‏6.2.2.4</t>
  </si>
  <si>
    <t xml:space="preserve">مخيمات عرفات — تسجيل عناوين الراوتر والقارئ والكاميرا والنبضة الأولى وصور ما بعد التركيب</t>
  </si>
  <si>
    <t xml:space="preserve">‏6.2.2.5</t>
  </si>
  <si>
    <t xml:space="preserve">مخيمات عرفات — اعتماد النقاط وتسليم الموقع بمحضر جاهزية</t>
  </si>
  <si>
    <t xml:space="preserve">‏6.2.3</t>
  </si>
  <si>
    <r>
      <rPr>
        <b val="true"/>
        <sz val="11"/>
        <color rgb="FF0E4C3F"/>
        <rFont val="FreeSans"/>
        <family val="2"/>
      </rPr>
      <t xml:space="preserve">ممرات منى — ‏</t>
    </r>
    <r>
      <rPr>
        <b val="true"/>
        <sz val="11"/>
        <color rgb="FF0E4C3F"/>
        <rFont val="Calibri"/>
        <family val="0"/>
        <charset val="1"/>
      </rPr>
      <t xml:space="preserve">144‏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‏5‏ </t>
    </r>
    <r>
      <rPr>
        <b val="true"/>
        <sz val="11"/>
        <color rgb="FF0E4C3F"/>
        <rFont val="FreeSans"/>
        <family val="2"/>
      </rPr>
      <t xml:space="preserve">فرق </t>
    </r>
    <r>
      <rPr>
        <b val="true"/>
        <sz val="11"/>
        <color rgb="FF0E4C3F"/>
        <rFont val="Calibri"/>
        <family val="0"/>
        <charset val="1"/>
      </rPr>
      <t xml:space="preserve">· ‏25‏ </t>
    </r>
    <r>
      <rPr>
        <b val="true"/>
        <sz val="11"/>
        <color rgb="FF0E4C3F"/>
        <rFont val="FreeSans"/>
        <family val="2"/>
      </rPr>
      <t xml:space="preserve">فنيًا</t>
    </r>
  </si>
  <si>
    <t xml:space="preserve">فريق التركيب — ممرات منى</t>
  </si>
  <si>
    <t xml:space="preserve">طاقة شمسية مستقلة — غير مرتبط بالتخصيص</t>
  </si>
  <si>
    <t xml:space="preserve">‏6.2.3.1</t>
  </si>
  <si>
    <t xml:space="preserve">ممرات منى — المسح الميداني وتسجيل مصدر التيار وساعات التشغيل ومسار الكابل</t>
  </si>
  <si>
    <t xml:space="preserve">‏6.2.3.2</t>
  </si>
  <si>
    <t xml:space="preserve">ممرات منى — جدولة النقاط وتوزيع الفرق وصرف العُهدة</t>
  </si>
  <si>
    <t xml:space="preserve">‏6.2.3.3</t>
  </si>
  <si>
    <t xml:space="preserve">ممرات منى — التركيب الميكانيكي وتمديد الطاقة والكابل المحمي بمساره</t>
  </si>
  <si>
    <t xml:space="preserve">‏6.2.3.4</t>
  </si>
  <si>
    <t xml:space="preserve">ممرات منى — تسجيل عناوين الراوتر والقارئ والكاميرا والنبضة الأولى وصور ما بعد التركيب</t>
  </si>
  <si>
    <t xml:space="preserve">‏6.2.3.5</t>
  </si>
  <si>
    <t xml:space="preserve">ممرات منى — اعتماد النقاط وتسليم الموقع بمحضر جاهزية</t>
  </si>
  <si>
    <t xml:space="preserve">‏6.2.4</t>
  </si>
  <si>
    <r>
      <rPr>
        <b val="true"/>
        <sz val="11"/>
        <color rgb="FF0E4C3F"/>
        <rFont val="FreeSans"/>
        <family val="2"/>
      </rPr>
      <t xml:space="preserve">ممرات عرفات — ‏</t>
    </r>
    <r>
      <rPr>
        <b val="true"/>
        <sz val="11"/>
        <color rgb="FF0E4C3F"/>
        <rFont val="Calibri"/>
        <family val="0"/>
        <charset val="1"/>
      </rPr>
      <t xml:space="preserve">45‏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</t>
    </r>
    <r>
      <rPr>
        <b val="true"/>
        <sz val="11"/>
        <color rgb="FF0E4C3F"/>
        <rFont val="FreeSans"/>
        <family val="2"/>
      </rPr>
      <t xml:space="preserve">فريقان </t>
    </r>
    <r>
      <rPr>
        <b val="true"/>
        <sz val="11"/>
        <color rgb="FF0E4C3F"/>
        <rFont val="Calibri"/>
        <family val="0"/>
        <charset val="1"/>
      </rPr>
      <t xml:space="preserve">· ‏10‏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</si>
  <si>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فريق التركيب — ممرات عرفات</t>
  </si>
  <si>
    <t xml:space="preserve">‏6.2.4.1</t>
  </si>
  <si>
    <t xml:space="preserve">ممرات عرفات — المسح الميداني وتسجيل مصدر التيار وساعات التشغيل ومسار الكابل</t>
  </si>
  <si>
    <t xml:space="preserve">‏6.2.4.2</t>
  </si>
  <si>
    <t xml:space="preserve">ممرات عرفات — جدولة النقاط وتوزيع الفرق وصرف العُهدة</t>
  </si>
  <si>
    <t xml:space="preserve">‏6.2.4.3</t>
  </si>
  <si>
    <t xml:space="preserve">ممرات عرفات — التركيب الميكانيكي وتمديد الطاقة والكابل المحمي بمساره</t>
  </si>
  <si>
    <t xml:space="preserve">‏6.2.4.4</t>
  </si>
  <si>
    <t xml:space="preserve">ممرات عرفات — تسجيل عناوين الراوتر والقارئ والكاميرا والنبضة الأولى وصور ما بعد التركيب</t>
  </si>
  <si>
    <t xml:space="preserve">‏6.2.4.5</t>
  </si>
  <si>
    <t xml:space="preserve">ممرات عرفات — اعتماد النقاط وتسليم الموقع بمحضر جاهزية</t>
  </si>
  <si>
    <t xml:space="preserve">‏6.2.5</t>
  </si>
  <si>
    <r>
      <rPr>
        <b val="true"/>
        <sz val="11"/>
        <color rgb="FF0E4C3F"/>
        <rFont val="FreeSans"/>
        <family val="2"/>
      </rPr>
      <t xml:space="preserve">مبنى الجمرات — ‏</t>
    </r>
    <r>
      <rPr>
        <b val="true"/>
        <sz val="11"/>
        <color rgb="FF0E4C3F"/>
        <rFont val="Calibri"/>
        <family val="0"/>
        <charset val="1"/>
      </rPr>
      <t xml:space="preserve">46‏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</t>
    </r>
    <r>
      <rPr>
        <b val="true"/>
        <sz val="11"/>
        <color rgb="FF0E4C3F"/>
        <rFont val="FreeSans"/>
        <family val="2"/>
      </rPr>
      <t xml:space="preserve">فريقان </t>
    </r>
    <r>
      <rPr>
        <b val="true"/>
        <sz val="11"/>
        <color rgb="FF0E4C3F"/>
        <rFont val="Calibri"/>
        <family val="0"/>
        <charset val="1"/>
      </rPr>
      <t xml:space="preserve">· ‏6‏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</si>
  <si>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فريق التركيب — الجمرات</t>
  </si>
  <si>
    <t xml:space="preserve">كاميرات ارتفاعات — لا يُفك بعد الموسم</t>
  </si>
  <si>
    <t xml:space="preserve">‏6.2.5.1</t>
  </si>
  <si>
    <t xml:space="preserve">مبنى الجمرات — المسح الميداني وتسجيل مصدر التيار وساعات التشغيل ومسار الكابل</t>
  </si>
  <si>
    <t xml:space="preserve">‏6.2.5.2</t>
  </si>
  <si>
    <t xml:space="preserve">مبنى الجمرات — جدولة النقاط وتوزيع الفرق وصرف العُهدة</t>
  </si>
  <si>
    <t xml:space="preserve">‏6.2.5.3</t>
  </si>
  <si>
    <t xml:space="preserve">مبنى الجمرات — التركيب الميكانيكي وتمديد الطاقة والكابل المحمي بمساره</t>
  </si>
  <si>
    <t xml:space="preserve">‏6.2.5.4</t>
  </si>
  <si>
    <t xml:space="preserve">مبنى الجمرات — تسجيل عناوين الراوتر والقارئ والكاميرا والنبضة الأولى وصور ما بعد التركيب</t>
  </si>
  <si>
    <t xml:space="preserve">‏6.2.5.5</t>
  </si>
  <si>
    <t xml:space="preserve">مبنى الجمرات — اعتماد النقاط وتسليم الموقع بمحضر جاهزية</t>
  </si>
  <si>
    <t xml:space="preserve">‏6.2.6</t>
  </si>
  <si>
    <r>
      <rPr>
        <b val="true"/>
        <sz val="11"/>
        <color rgb="FF0E4C3F"/>
        <rFont val="FreeSans"/>
        <family val="2"/>
      </rPr>
      <t xml:space="preserve">محطات قطار منى — ‏</t>
    </r>
    <r>
      <rPr>
        <b val="true"/>
        <sz val="11"/>
        <color rgb="FF0E4C3F"/>
        <rFont val="Calibri"/>
        <family val="0"/>
        <charset val="1"/>
      </rPr>
      <t xml:space="preserve">48‏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</t>
    </r>
    <r>
      <rPr>
        <b val="true"/>
        <sz val="11"/>
        <color rgb="FF0E4C3F"/>
        <rFont val="FreeSans"/>
        <family val="2"/>
      </rPr>
      <t xml:space="preserve">فريق واحد </t>
    </r>
    <r>
      <rPr>
        <b val="true"/>
        <sz val="11"/>
        <color rgb="FF0E4C3F"/>
        <rFont val="Calibri"/>
        <family val="0"/>
        <charset val="1"/>
      </rPr>
      <t xml:space="preserve">· ‏3‏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</si>
  <si>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فريق التركيب — المحطات</t>
  </si>
  <si>
    <t xml:space="preserve">أفاقي وسار</t>
  </si>
  <si>
    <t xml:space="preserve">داخل نوافذ سار — لا يُفك</t>
  </si>
  <si>
    <t xml:space="preserve">‏6.2.6.1</t>
  </si>
  <si>
    <t xml:space="preserve">محطات قطار منى — المسح الميداني وتسجيل مصدر التيار وساعات التشغيل ومسار الكابل</t>
  </si>
  <si>
    <t xml:space="preserve">‏6.2.6.2</t>
  </si>
  <si>
    <t xml:space="preserve">محطات قطار منى — جدولة النقاط وتوزيع الفرق وصرف العُهدة</t>
  </si>
  <si>
    <t xml:space="preserve">‏6.2.6.3</t>
  </si>
  <si>
    <t xml:space="preserve">محطات قطار منى — التركيب الميكانيكي وتمديد الطاقة والكابل المحمي بمساره</t>
  </si>
  <si>
    <t xml:space="preserve">‏6.2.6.4</t>
  </si>
  <si>
    <t xml:space="preserve">محطات قطار منى — تسجيل عناوين الراوتر والقارئ والكاميرا والنبضة الأولى وصور ما بعد التركيب</t>
  </si>
  <si>
    <t xml:space="preserve">‏6.2.6.5</t>
  </si>
  <si>
    <t xml:space="preserve">محطات قطار منى — اعتماد النقاط وتسليم الموقع بمحضر جاهزية</t>
  </si>
  <si>
    <t xml:space="preserve">‏6.2.7</t>
  </si>
  <si>
    <r>
      <rPr>
        <b val="true"/>
        <sz val="11"/>
        <color rgb="FF0E4C3F"/>
        <rFont val="FreeSans"/>
        <family val="2"/>
      </rPr>
      <t xml:space="preserve">محطة قطار عرفات — ‏</t>
    </r>
    <r>
      <rPr>
        <b val="true"/>
        <sz val="11"/>
        <color rgb="FF0E4C3F"/>
        <rFont val="Calibri"/>
        <family val="0"/>
        <charset val="1"/>
      </rPr>
      <t xml:space="preserve">60‏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</t>
    </r>
    <r>
      <rPr>
        <b val="true"/>
        <sz val="11"/>
        <color rgb="FF0E4C3F"/>
        <rFont val="FreeSans"/>
        <family val="2"/>
      </rPr>
      <t xml:space="preserve">فريق واحد </t>
    </r>
    <r>
      <rPr>
        <b val="true"/>
        <sz val="11"/>
        <color rgb="FF0E4C3F"/>
        <rFont val="Calibri"/>
        <family val="0"/>
        <charset val="1"/>
      </rPr>
      <t xml:space="preserve">· ‏3‏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</si>
  <si>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‏6.2.7.1</t>
  </si>
  <si>
    <t xml:space="preserve">محطة قطار عرفات — المسح الميداني وتسجيل مصدر التيار وساعات التشغيل ومسار الكابل</t>
  </si>
  <si>
    <t xml:space="preserve">‏6.2.7.2</t>
  </si>
  <si>
    <t xml:space="preserve">محطة قطار عرفات — جدولة النقاط وتوزيع الفرق وصرف العُهدة</t>
  </si>
  <si>
    <t xml:space="preserve">‏6.2.7.3</t>
  </si>
  <si>
    <t xml:space="preserve">محطة قطار عرفات — التركيب الميكانيكي وتمديد الطاقة والكابل المحمي بمساره</t>
  </si>
  <si>
    <t xml:space="preserve">‏6.2.7.4</t>
  </si>
  <si>
    <t xml:space="preserve">محطة قطار عرفات — تسجيل عناوين الراوتر والقارئ والكاميرا والنبضة الأولى وصور ما بعد التركيب</t>
  </si>
  <si>
    <t xml:space="preserve">‏6.2.7.5</t>
  </si>
  <si>
    <t xml:space="preserve">محطة قطار عرفات — اعتماد النقاط وتسليم الموقع بمحضر جاهزية</t>
  </si>
  <si>
    <t xml:space="preserve">‏6.2.8</t>
  </si>
  <si>
    <r>
      <rPr>
        <b val="true"/>
        <sz val="11"/>
        <color rgb="FF0E4C3F"/>
        <rFont val="FreeSans"/>
        <family val="2"/>
      </rPr>
      <t xml:space="preserve">مسجد نمرة — ‏</t>
    </r>
    <r>
      <rPr>
        <b val="true"/>
        <sz val="11"/>
        <color rgb="FF0E4C3F"/>
        <rFont val="Calibri"/>
        <family val="0"/>
        <charset val="1"/>
      </rPr>
      <t xml:space="preserve">10‏ </t>
    </r>
    <r>
      <rPr>
        <b val="true"/>
        <sz val="11"/>
        <color rgb="FF0E4C3F"/>
        <rFont val="FreeSans"/>
        <family val="2"/>
      </rPr>
      <t xml:space="preserve">نقاط </t>
    </r>
    <r>
      <rPr>
        <b val="true"/>
        <sz val="11"/>
        <color rgb="FF0E4C3F"/>
        <rFont val="Calibri"/>
        <family val="0"/>
        <charset val="1"/>
      </rPr>
      <t xml:space="preserve">· </t>
    </r>
    <r>
      <rPr>
        <b val="true"/>
        <sz val="11"/>
        <color rgb="FF0E4C3F"/>
        <rFont val="FreeSans"/>
        <family val="2"/>
      </rPr>
      <t xml:space="preserve">فريق واحد </t>
    </r>
    <r>
      <rPr>
        <b val="true"/>
        <sz val="11"/>
        <color rgb="FF0E4C3F"/>
        <rFont val="Calibri"/>
        <family val="0"/>
        <charset val="1"/>
      </rPr>
      <t xml:space="preserve">· ‏4‏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</si>
  <si>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فريق التركيب — نمرة</t>
  </si>
  <si>
    <t xml:space="preserve">أفاقي ورئاسة شؤون الحرمين</t>
  </si>
  <si>
    <t xml:space="preserve">لا يُفك بعد الموسم</t>
  </si>
  <si>
    <t xml:space="preserve">‏6.2.8.1</t>
  </si>
  <si>
    <t xml:space="preserve">مسجد نمرة — المسح الميداني وتسجيل مصدر التيار وساعات التشغيل ومسار الكابل</t>
  </si>
  <si>
    <t xml:space="preserve">‏6.2.8.2</t>
  </si>
  <si>
    <t xml:space="preserve">مسجد نمرة — جدولة النقاط وتوزيع الفرق وصرف العُهدة</t>
  </si>
  <si>
    <t xml:space="preserve">‏6.2.8.3</t>
  </si>
  <si>
    <t xml:space="preserve">مسجد نمرة — التركيب الميكانيكي وتمديد الطاقة والكابل المحمي بمساره</t>
  </si>
  <si>
    <t xml:space="preserve">‏6.2.8.4</t>
  </si>
  <si>
    <t xml:space="preserve">مسجد نمرة — تسجيل عناوين الراوتر والقارئ والكاميرا والنبضة الأولى وصور ما بعد التركيب</t>
  </si>
  <si>
    <t xml:space="preserve">‏6.2.8.5</t>
  </si>
  <si>
    <t xml:space="preserve">مسجد نمرة — اعتماد النقاط وتسليم الموقع بمحضر جاهزية</t>
  </si>
  <si>
    <t xml:space="preserve">‏6.2.9</t>
  </si>
  <si>
    <r>
      <rPr>
        <b val="true"/>
        <sz val="11"/>
        <color rgb="FF0E4C3F"/>
        <rFont val="FreeSans"/>
        <family val="2"/>
      </rPr>
      <t xml:space="preserve">أبواب المسجد الحرام — ‏</t>
    </r>
    <r>
      <rPr>
        <b val="true"/>
        <sz val="11"/>
        <color rgb="FF0E4C3F"/>
        <rFont val="Calibri"/>
        <family val="0"/>
        <charset val="1"/>
      </rPr>
      <t xml:space="preserve">60‏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</t>
    </r>
    <r>
      <rPr>
        <b val="true"/>
        <sz val="11"/>
        <color rgb="FF0E4C3F"/>
        <rFont val="FreeSans"/>
        <family val="2"/>
      </rPr>
      <t xml:space="preserve">فريق واحد </t>
    </r>
    <r>
      <rPr>
        <b val="true"/>
        <sz val="11"/>
        <color rgb="FF0E4C3F"/>
        <rFont val="Calibri"/>
        <family val="0"/>
        <charset val="1"/>
      </rPr>
      <t xml:space="preserve">· ‏4‏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</si>
  <si>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فريق التركيب — الحرم</t>
  </si>
  <si>
    <t xml:space="preserve">أفاقي وهيئة العناية</t>
  </si>
  <si>
    <t xml:space="preserve">يعمل على مدار العام — يُنجز قبل رمضان</t>
  </si>
  <si>
    <t xml:space="preserve">‏6.2.9.1</t>
  </si>
  <si>
    <t xml:space="preserve">أبواب المسجد الحرام — المسح الميداني وتسجيل مصدر التيار وساعات التشغيل ومسار الكابل</t>
  </si>
  <si>
    <t xml:space="preserve">‏6.2.9.2</t>
  </si>
  <si>
    <t xml:space="preserve">أبواب المسجد الحرام — جدولة النقاط وتوزيع الفرق وصرف العُهدة</t>
  </si>
  <si>
    <t xml:space="preserve">‏6.2.9.3</t>
  </si>
  <si>
    <t xml:space="preserve">أبواب المسجد الحرام — التركيب الميكانيكي وتمديد الطاقة والكابل المحمي بمساره</t>
  </si>
  <si>
    <t xml:space="preserve">‏6.2.9.4</t>
  </si>
  <si>
    <t xml:space="preserve">أبواب المسجد الحرام — تسجيل عناوين الراوتر والقارئ والكاميرا والنبضة الأولى وصور ما بعد التركيب</t>
  </si>
  <si>
    <t xml:space="preserve">‏6.2.9.5</t>
  </si>
  <si>
    <t xml:space="preserve">أبواب المسجد الحرام — اعتماد النقاط وتسليم الموقع بمحضر جاهزية</t>
  </si>
  <si>
    <t xml:space="preserve">‏6.2.10</t>
  </si>
  <si>
    <r>
      <rPr>
        <b val="true"/>
        <sz val="11"/>
        <color rgb="FF0E4C3F"/>
        <rFont val="FreeSans"/>
        <family val="2"/>
      </rPr>
      <t xml:space="preserve">صيانة كاميرات الوزارة — ‏</t>
    </r>
    <r>
      <rPr>
        <b val="true"/>
        <sz val="11"/>
        <color rgb="FF0E4C3F"/>
        <rFont val="Calibri"/>
        <family val="0"/>
        <charset val="1"/>
      </rPr>
      <t xml:space="preserve">90‏ </t>
    </r>
    <r>
      <rPr>
        <b val="true"/>
        <sz val="11"/>
        <color rgb="FF0E4C3F"/>
        <rFont val="FreeSans"/>
        <family val="2"/>
      </rPr>
      <t xml:space="preserve">عمودًا </t>
    </r>
    <r>
      <rPr>
        <b val="true"/>
        <sz val="11"/>
        <color rgb="FF0E4C3F"/>
        <rFont val="Calibri"/>
        <family val="0"/>
        <charset val="1"/>
      </rPr>
      <t xml:space="preserve">· </t>
    </r>
    <r>
      <rPr>
        <b val="true"/>
        <sz val="11"/>
        <color rgb="FF0E4C3F"/>
        <rFont val="FreeSans"/>
        <family val="2"/>
      </rPr>
      <t xml:space="preserve">فريق واحد </t>
    </r>
    <r>
      <rPr>
        <b val="true"/>
        <sz val="11"/>
        <color rgb="FF0E4C3F"/>
        <rFont val="Calibri"/>
        <family val="0"/>
        <charset val="1"/>
      </rPr>
      <t xml:space="preserve">· ‏3‏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</si>
  <si>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فريق الصيانة</t>
  </si>
  <si>
    <t xml:space="preserve">‏6.2.10.1</t>
  </si>
  <si>
    <t xml:space="preserve">صيانة كاميرات الوزارة — المسح الميداني وتسجيل مصدر التيار وساعات التشغيل ومسار الكابل</t>
  </si>
  <si>
    <t xml:space="preserve">‏6.2.10.2</t>
  </si>
  <si>
    <t xml:space="preserve">صيانة كاميرات الوزارة — جدولة النقاط وتوزيع الفرق وصرف العُهدة</t>
  </si>
  <si>
    <t xml:space="preserve">‏6.2.10.3</t>
  </si>
  <si>
    <t xml:space="preserve">صيانة كاميرات الوزارة — التركيب الميكانيكي وتمديد الطاقة والكابل المحمي بمساره</t>
  </si>
  <si>
    <t xml:space="preserve">‏6.2.10.4</t>
  </si>
  <si>
    <t xml:space="preserve">صيانة كاميرات الوزارة — تسجيل عناوين الراوتر والقارئ والكاميرا والنبضة الأولى وصور ما بعد التركيب</t>
  </si>
  <si>
    <t xml:space="preserve">‏6.2.10.5</t>
  </si>
  <si>
    <t xml:space="preserve">صيانة كاميرات الوزارة — اعتماد النقاط وتسليم الموقع بمحضر جاهزية</t>
  </si>
  <si>
    <t xml:space="preserve">‏6.2.11</t>
  </si>
  <si>
    <r>
      <rPr>
        <b val="true"/>
        <sz val="11"/>
        <color rgb="FF0E4C3F"/>
        <rFont val="FreeSans"/>
        <family val="2"/>
      </rPr>
      <t xml:space="preserve">تركيب كاميرات جديدة — ‏</t>
    </r>
    <r>
      <rPr>
        <b val="true"/>
        <sz val="11"/>
        <color rgb="FF0E4C3F"/>
        <rFont val="Calibri"/>
        <family val="0"/>
        <charset val="1"/>
      </rPr>
      <t xml:space="preserve">60‏ </t>
    </r>
    <r>
      <rPr>
        <b val="true"/>
        <sz val="11"/>
        <color rgb="FF0E4C3F"/>
        <rFont val="FreeSans"/>
        <family val="2"/>
      </rPr>
      <t xml:space="preserve">نقطة </t>
    </r>
    <r>
      <rPr>
        <b val="true"/>
        <sz val="11"/>
        <color rgb="FF0E4C3F"/>
        <rFont val="Calibri"/>
        <family val="0"/>
        <charset val="1"/>
      </rPr>
      <t xml:space="preserve">· </t>
    </r>
    <r>
      <rPr>
        <b val="true"/>
        <sz val="11"/>
        <color rgb="FF0E4C3F"/>
        <rFont val="FreeSans"/>
        <family val="2"/>
      </rPr>
      <t xml:space="preserve">فريقان </t>
    </r>
    <r>
      <rPr>
        <b val="true"/>
        <sz val="11"/>
        <color rgb="FF0E4C3F"/>
        <rFont val="Calibri"/>
        <family val="0"/>
        <charset val="1"/>
      </rPr>
      <t xml:space="preserve">· ‏6‏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</si>
  <si>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فريق التركيب — الكاميرات</t>
  </si>
  <si>
    <r>
      <rPr>
        <b val="true"/>
        <sz val="11"/>
        <color rgb="FF0E4C3F"/>
        <rFont val="FreeSans"/>
        <family val="2"/>
      </rPr>
      <t xml:space="preserve">صُحِّح إلى فريقين </t>
    </r>
    <r>
      <rPr>
        <b val="true"/>
        <sz val="11"/>
        <color rgb="FF0E4C3F"/>
        <rFont val="Calibri"/>
        <family val="0"/>
        <charset val="1"/>
      </rPr>
      <t xml:space="preserve">× ‏3‏ </t>
    </r>
    <r>
      <rPr>
        <b val="true"/>
        <sz val="11"/>
        <color rgb="FF0E4C3F"/>
        <rFont val="FreeSans"/>
        <family val="2"/>
      </rPr>
      <t xml:space="preserve">فنيين</t>
    </r>
  </si>
  <si>
    <t xml:space="preserve">‏6.2.11.1</t>
  </si>
  <si>
    <t xml:space="preserve">تركيب كاميرات جديدة — المسح الميداني وتسجيل مصدر التيار وساعات التشغيل ومسار الكابل</t>
  </si>
  <si>
    <t xml:space="preserve">‏6.2.11.2</t>
  </si>
  <si>
    <t xml:space="preserve">تركيب كاميرات جديدة — جدولة النقاط وتوزيع الفرق وصرف العُهدة</t>
  </si>
  <si>
    <t xml:space="preserve">‏6.2.11.3</t>
  </si>
  <si>
    <t xml:space="preserve">تركيب كاميرات جديدة — التركيب الميكانيكي وتمديد الطاقة والكابل المحمي بمساره</t>
  </si>
  <si>
    <t xml:space="preserve">‏6.2.11.4</t>
  </si>
  <si>
    <t xml:space="preserve">تركيب كاميرات جديدة — تسجيل عناوين الراوتر والقارئ والكاميرا والنبضة الأولى وصور ما بعد التركيب</t>
  </si>
  <si>
    <t xml:space="preserve">‏6.2.11.5</t>
  </si>
  <si>
    <t xml:space="preserve">تركيب كاميرات جديدة — اعتماد النقاط وتسليم الموقع بمحضر جاهزية</t>
  </si>
  <si>
    <t xml:space="preserve">‏6.3</t>
  </si>
  <si>
    <t xml:space="preserve">اكتمال أعمال أبواب المسجد الحرام قبل رمضان</t>
  </si>
  <si>
    <t xml:space="preserve">الحد الفاصل قبل دخول شهر رمضان</t>
  </si>
  <si>
    <t xml:space="preserve">‏6.4</t>
  </si>
  <si>
    <t xml:space="preserve">هامش استيعاب الانزياح والمعالجات الميدانية</t>
  </si>
  <si>
    <t xml:space="preserve">يستوعب أي انزياح في التخصيص أو التوريد</t>
  </si>
  <si>
    <t xml:space="preserve">‏6.5</t>
  </si>
  <si>
    <t xml:space="preserve">اكتمال التركيب والربط</t>
  </si>
  <si>
    <t xml:space="preserve">نهاية مدة التنفيذ المعتمدة</t>
  </si>
  <si>
    <t xml:space="preserve">‏7</t>
  </si>
  <si>
    <t xml:space="preserve">الاختبار والتسليم والتشغيل الموسمي</t>
  </si>
  <si>
    <t xml:space="preserve">‏7.1</t>
  </si>
  <si>
    <t xml:space="preserve">الاحتياطي الزمني ومعالجة الملاحظات الميدانية</t>
  </si>
  <si>
    <t xml:space="preserve">ينتهي عند إيقاف الأعمال</t>
  </si>
  <si>
    <t xml:space="preserve">‏7.2</t>
  </si>
  <si>
    <t xml:space="preserve">آخر يوم عمل قبل إيقاف الأعمال</t>
  </si>
  <si>
    <t xml:space="preserve">أفاقي وكدانة</t>
  </si>
  <si>
    <t xml:space="preserve">إيقاف الأعمال يبدأ في اليوم التالي</t>
  </si>
  <si>
    <t xml:space="preserve">‏7.3</t>
  </si>
  <si>
    <t xml:space="preserve">اختبارات الأداء والدقة الميدانية وتقرير النتائج</t>
  </si>
  <si>
    <t xml:space="preserve">‏7.3.1</t>
  </si>
  <si>
    <t xml:space="preserve">اختبار دقة القراءة ومطابقة العيّنات</t>
  </si>
  <si>
    <t xml:space="preserve">‏7.3.2</t>
  </si>
  <si>
    <t xml:space="preserve">اختبار التحمل والاستمرارية تحت الحمل</t>
  </si>
  <si>
    <t xml:space="preserve">‏7.3.3</t>
  </si>
  <si>
    <t xml:space="preserve">تقرير النتائج ومعالجة الملاحظات</t>
  </si>
  <si>
    <t xml:space="preserve">‏7.4</t>
  </si>
  <si>
    <t xml:space="preserve">اعتماد الاختبار وتسليم الجاهزية</t>
  </si>
  <si>
    <t xml:space="preserve">نقطة قرار — قبول الجاهزية</t>
  </si>
  <si>
    <t xml:space="preserve">‏7.5</t>
  </si>
  <si>
    <t xml:space="preserve">تسليم النظام والتشغيل الموسمي</t>
  </si>
  <si>
    <t xml:space="preserve">فريق التشغيل</t>
  </si>
  <si>
    <t xml:space="preserve">‏7.6</t>
  </si>
  <si>
    <t xml:space="preserve">الدعم الميداني والمراقبة خلال الموسم</t>
  </si>
  <si>
    <t xml:space="preserve">يشمل يوم عرفة</t>
  </si>
  <si>
    <t xml:space="preserve">‏7.6.1</t>
  </si>
  <si>
    <t xml:space="preserve">مراقبة صحة الأجهزة على مدار الساعة</t>
  </si>
  <si>
    <t xml:space="preserve">الساقط عشر دقائق فأكثر جرس تلقائي</t>
  </si>
  <si>
    <t xml:space="preserve">‏7.6.2</t>
  </si>
  <si>
    <t xml:space="preserve">دوريات وقائية قبل ساعة الذروة</t>
  </si>
  <si>
    <t xml:space="preserve">تُجدول على ساعة الذروة من هستوجرام الأعطال</t>
  </si>
  <si>
    <t xml:space="preserve">‏7.6.3</t>
  </si>
  <si>
    <t xml:space="preserve">التقرير اليومي للتشغيل الموسمي</t>
  </si>
  <si>
    <t xml:space="preserve">‏7.6.4</t>
  </si>
  <si>
    <t xml:space="preserve">التصعيد عند التذبذب المتكرر أو سقوط مغذٍّ</t>
  </si>
  <si>
    <t xml:space="preserve">تذبذب ثلاث فصلات فأكثر زيارة نفس اليوم</t>
  </si>
  <si>
    <t xml:space="preserve">‏8</t>
  </si>
  <si>
    <t xml:space="preserve">الفك والجرد وإقفال المشروع</t>
  </si>
  <si>
    <t xml:space="preserve">‏8.1</t>
  </si>
  <si>
    <t xml:space="preserve">تأكيد إتاحة أعمال الفك من ثالث أيام عيد الأضحى</t>
  </si>
  <si>
    <t xml:space="preserve">إدارة الحشود وكدانة</t>
  </si>
  <si>
    <t xml:space="preserve">‏8.2</t>
  </si>
  <si>
    <t xml:space="preserve">الفك والجرد وإعادة التخزين</t>
  </si>
  <si>
    <t xml:space="preserve">المخيمات والممرات فقط — الحرم والجمرات والمحطات ونمرة لا تُفك</t>
  </si>
  <si>
    <t xml:space="preserve">‏8.2.1</t>
  </si>
  <si>
    <t xml:space="preserve">فك نقاط مخيمات منى وممراتها</t>
  </si>
  <si>
    <t xml:space="preserve">‏8.2.2</t>
  </si>
  <si>
    <t xml:space="preserve">فك نقاط مخيمات عرفات وممراتها</t>
  </si>
  <si>
    <t xml:space="preserve">‏8.2.3</t>
  </si>
  <si>
    <t xml:space="preserve">الجرد وحكم سليم أو تالف لكل جهاز</t>
  </si>
  <si>
    <t xml:space="preserve">السبب يُذكر في الملاحظة — نسبة التالف مؤشر تعامل كل شركة مع العُهدة</t>
  </si>
  <si>
    <t xml:space="preserve">‏8.2.4</t>
  </si>
  <si>
    <t xml:space="preserve">إرجاع العُهدة والتخزين وتقرير النسب</t>
  </si>
  <si>
    <t xml:space="preserve">‏8.3</t>
  </si>
  <si>
    <t xml:space="preserve">التقرير الختامي والدروس المستفادة</t>
  </si>
  <si>
    <t xml:space="preserve">‏8.4</t>
  </si>
  <si>
    <t xml:space="preserve">إقفال المشروع</t>
  </si>
  <si>
    <t xml:space="preserve">دليل الاستخدام</t>
  </si>
  <si>
    <r>
      <rPr>
        <sz val="10"/>
        <color rgb="FF595959"/>
        <rFont val="FreeSans"/>
        <family val="2"/>
      </rPr>
      <t xml:space="preserve">• الملف يحسب نفسه عند كل فتح</t>
    </r>
    <r>
      <rPr>
        <sz val="10"/>
        <color rgb="FF595959"/>
        <rFont val="Calibri"/>
        <family val="0"/>
        <charset val="1"/>
      </rPr>
      <t xml:space="preserve">: </t>
    </r>
    <r>
      <rPr>
        <sz val="10"/>
        <color rgb="FF595959"/>
        <rFont val="FreeSans"/>
        <family val="2"/>
      </rPr>
      <t xml:space="preserve">خانة يوم عرفة الصفراء هي المحرّك الوحيد — غيّرها فتتحرك كل مواعيد المراحل والمدد والمتبقي معها</t>
    </r>
    <r>
      <rPr>
        <sz val="10"/>
        <color rgb="FF595959"/>
        <rFont val="Calibri"/>
        <family val="0"/>
        <charset val="1"/>
      </rPr>
      <t xml:space="preserve">.</t>
    </r>
  </si>
  <si>
    <r>
      <rPr>
        <sz val="10"/>
        <color rgb="FF595959"/>
        <rFont val="FreeSans"/>
        <family val="2"/>
      </rPr>
      <t xml:space="preserve">• المواعيد الحاكمة أعلى الشاشة مشتقة من يوم عرفة</t>
    </r>
    <r>
      <rPr>
        <sz val="10"/>
        <color rgb="FF595959"/>
        <rFont val="Calibri"/>
        <family val="0"/>
        <charset val="1"/>
      </rPr>
      <t xml:space="preserve">: </t>
    </r>
    <r>
      <rPr>
        <sz val="10"/>
        <color rgb="FF595959"/>
        <rFont val="FreeSans"/>
        <family val="2"/>
      </rPr>
      <t xml:space="preserve">رمضان ناقص ‏</t>
    </r>
    <r>
      <rPr>
        <sz val="10"/>
        <color rgb="FF595959"/>
        <rFont val="Calibri"/>
        <family val="0"/>
        <charset val="1"/>
      </rPr>
      <t xml:space="preserve">97‏ · </t>
    </r>
    <r>
      <rPr>
        <sz val="10"/>
        <color rgb="FF595959"/>
        <rFont val="FreeSans"/>
        <family val="2"/>
      </rPr>
      <t xml:space="preserve">نهاية التنفيذ ناقص ‏</t>
    </r>
    <r>
      <rPr>
        <sz val="10"/>
        <color rgb="FF595959"/>
        <rFont val="Calibri"/>
        <family val="0"/>
        <charset val="1"/>
      </rPr>
      <t xml:space="preserve">45‏ · </t>
    </r>
    <r>
      <rPr>
        <sz val="10"/>
        <color rgb="FF595959"/>
        <rFont val="FreeSans"/>
        <family val="2"/>
      </rPr>
      <t xml:space="preserve">إيقاف الأعمال ناقص ‏</t>
    </r>
    <r>
      <rPr>
        <sz val="10"/>
        <color rgb="FF595959"/>
        <rFont val="Calibri"/>
        <family val="0"/>
        <charset val="1"/>
      </rPr>
      <t xml:space="preserve">30‏ · </t>
    </r>
    <r>
      <rPr>
        <sz val="10"/>
        <color rgb="FF595959"/>
        <rFont val="FreeSans"/>
        <family val="2"/>
      </rPr>
      <t xml:space="preserve">بداية العمل الميداني قبل نهاية التنفيذ بـ‏</t>
    </r>
    <r>
      <rPr>
        <sz val="10"/>
        <color rgb="FF595959"/>
        <rFont val="Calibri"/>
        <family val="0"/>
        <charset val="1"/>
      </rPr>
      <t xml:space="preserve">106‏ </t>
    </r>
    <r>
      <rPr>
        <sz val="10"/>
        <color rgb="FF595959"/>
        <rFont val="FreeSans"/>
        <family val="2"/>
      </rPr>
      <t xml:space="preserve">أيام </t>
    </r>
    <r>
      <rPr>
        <sz val="10"/>
        <color rgb="FF595959"/>
        <rFont val="Calibri"/>
        <family val="0"/>
        <charset val="1"/>
      </rPr>
      <t xml:space="preserve">· </t>
    </r>
    <r>
      <rPr>
        <sz val="10"/>
        <color rgb="FF595959"/>
        <rFont val="FreeSans"/>
        <family val="2"/>
      </rPr>
      <t xml:space="preserve">التخصيص قبلها بشهر </t>
    </r>
    <r>
      <rPr>
        <sz val="10"/>
        <color rgb="FF595959"/>
        <rFont val="Calibri"/>
        <family val="0"/>
        <charset val="1"/>
      </rPr>
      <t xml:space="preserve">· </t>
    </r>
    <r>
      <rPr>
        <sz val="10"/>
        <color rgb="FF595959"/>
        <rFont val="FreeSans"/>
        <family val="2"/>
      </rPr>
      <t xml:space="preserve">أمر التوريد قبلها بـ‏</t>
    </r>
    <r>
      <rPr>
        <sz val="10"/>
        <color rgb="FF595959"/>
        <rFont val="Calibri"/>
        <family val="0"/>
        <charset val="1"/>
      </rPr>
      <t xml:space="preserve">61‏ </t>
    </r>
    <r>
      <rPr>
        <sz val="10"/>
        <color rgb="FF595959"/>
        <rFont val="FreeSans"/>
        <family val="2"/>
      </rPr>
      <t xml:space="preserve">يومًا</t>
    </r>
    <r>
      <rPr>
        <sz val="10"/>
        <color rgb="FF595959"/>
        <rFont val="Calibri"/>
        <family val="0"/>
        <charset val="1"/>
      </rPr>
      <t xml:space="preserve">.</t>
    </r>
  </si>
  <si>
    <r>
      <rPr>
        <sz val="10"/>
        <color rgb="FF595959"/>
        <rFont val="FreeSans"/>
        <family val="2"/>
      </rPr>
      <t xml:space="preserve">• عمود الموقف الزمني يقارن التاريخ الفعلي بمدة كل بند تلقائيًا</t>
    </r>
    <r>
      <rPr>
        <sz val="10"/>
        <color rgb="FF595959"/>
        <rFont val="Calibri"/>
        <family val="0"/>
        <charset val="1"/>
      </rPr>
      <t xml:space="preserve">: </t>
    </r>
    <r>
      <rPr>
        <sz val="10"/>
        <color rgb="FF595959"/>
        <rFont val="FreeSans"/>
        <family val="2"/>
      </rPr>
      <t xml:space="preserve">لم يحن موعده </t>
    </r>
    <r>
      <rPr>
        <sz val="10"/>
        <color rgb="FF595959"/>
        <rFont val="Calibri"/>
        <family val="0"/>
        <charset val="1"/>
      </rPr>
      <t xml:space="preserve">· </t>
    </r>
    <r>
      <rPr>
        <sz val="10"/>
        <color rgb="FF595959"/>
        <rFont val="FreeSans"/>
        <family val="2"/>
      </rPr>
      <t xml:space="preserve">ضمن مدته </t>
    </r>
    <r>
      <rPr>
        <sz val="10"/>
        <color rgb="FF595959"/>
        <rFont val="Calibri"/>
        <family val="0"/>
        <charset val="1"/>
      </rPr>
      <t xml:space="preserve">· </t>
    </r>
    <r>
      <rPr>
        <sz val="10"/>
        <color rgb="FF595959"/>
        <rFont val="FreeSans"/>
        <family val="2"/>
      </rPr>
      <t xml:space="preserve">يستوجب المتابعة </t>
    </r>
    <r>
      <rPr>
        <sz val="10"/>
        <color rgb="FF595959"/>
        <rFont val="Calibri"/>
        <family val="0"/>
        <charset val="1"/>
      </rPr>
      <t xml:space="preserve">· </t>
    </r>
    <r>
      <rPr>
        <sz val="10"/>
        <color rgb="FF595959"/>
        <rFont val="FreeSans"/>
        <family val="2"/>
      </rPr>
      <t xml:space="preserve">مكتمل</t>
    </r>
    <r>
      <rPr>
        <sz val="10"/>
        <color rgb="FF595959"/>
        <rFont val="Calibri"/>
        <family val="0"/>
        <charset val="1"/>
      </rPr>
      <t xml:space="preserve">.</t>
    </r>
  </si>
  <si>
    <r>
      <rPr>
        <sz val="10"/>
        <color rgb="FF595959"/>
        <rFont val="FreeSans"/>
        <family val="2"/>
      </rPr>
      <t xml:space="preserve">• الخانات الصفراء </t>
    </r>
    <r>
      <rPr>
        <sz val="10"/>
        <color rgb="FF595959"/>
        <rFont val="Calibri"/>
        <family val="0"/>
        <charset val="1"/>
      </rPr>
      <t xml:space="preserve">(</t>
    </r>
    <r>
      <rPr>
        <sz val="10"/>
        <color rgb="FF595959"/>
        <rFont val="FreeSans"/>
        <family val="2"/>
      </rPr>
      <t xml:space="preserve">عمود الإنجاز</t>
    </r>
    <r>
      <rPr>
        <sz val="10"/>
        <color rgb="FF595959"/>
        <rFont val="Calibri"/>
        <family val="0"/>
        <charset val="1"/>
      </rPr>
      <t xml:space="preserve">) </t>
    </r>
    <r>
      <rPr>
        <sz val="10"/>
        <color rgb="FF595959"/>
        <rFont val="FreeSans"/>
        <family val="2"/>
      </rPr>
      <t xml:space="preserve">هي الخانات الوحيدة التي تُحدَّث يدويًا — أدخل نسبة من ‏</t>
    </r>
    <r>
      <rPr>
        <sz val="10"/>
        <color rgb="FF595959"/>
        <rFont val="Calibri"/>
        <family val="0"/>
        <charset val="1"/>
      </rPr>
      <t xml:space="preserve">0‏ </t>
    </r>
    <r>
      <rPr>
        <sz val="10"/>
        <color rgb="FF595959"/>
        <rFont val="FreeSans"/>
        <family val="2"/>
      </rPr>
      <t xml:space="preserve">إلى ‏</t>
    </r>
    <r>
      <rPr>
        <sz val="10"/>
        <color rgb="FF595959"/>
        <rFont val="Calibri"/>
        <family val="0"/>
        <charset val="1"/>
      </rPr>
      <t xml:space="preserve">100.‏</t>
    </r>
  </si>
  <si>
    <r>
      <rPr>
        <sz val="10"/>
        <color rgb="FF595959"/>
        <rFont val="FreeSans"/>
        <family val="2"/>
      </rPr>
      <t xml:space="preserve">• تاريخا البدء والانتهاء والإنجاز في الصفوف الملوّنة تُحسب آليًا من بنودها الفرعية</t>
    </r>
    <r>
      <rPr>
        <sz val="10"/>
        <color rgb="FF595959"/>
        <rFont val="Calibri"/>
        <family val="0"/>
        <charset val="1"/>
      </rPr>
      <t xml:space="preserve">.</t>
    </r>
  </si>
  <si>
    <r>
      <rPr>
        <sz val="10"/>
        <color rgb="FF595959"/>
        <rFont val="FreeSans"/>
        <family val="2"/>
      </rPr>
      <t xml:space="preserve">• المدة تُحسب بأيام العمل </t>
    </r>
    <r>
      <rPr>
        <sz val="10"/>
        <color rgb="FF595959"/>
        <rFont val="Calibri"/>
        <family val="0"/>
        <charset val="1"/>
      </rPr>
      <t xml:space="preserve">(</t>
    </r>
    <r>
      <rPr>
        <sz val="10"/>
        <color rgb="FF595959"/>
        <rFont val="FreeSans"/>
        <family val="2"/>
      </rPr>
      <t xml:space="preserve">الأحد إلى الخميس</t>
    </r>
    <r>
      <rPr>
        <sz val="10"/>
        <color rgb="FF595959"/>
        <rFont val="Calibri"/>
        <family val="0"/>
        <charset val="1"/>
      </rPr>
      <t xml:space="preserve">) · </t>
    </r>
    <r>
      <rPr>
        <sz val="10"/>
        <color rgb="FF595959"/>
        <rFont val="FreeSans"/>
        <family val="2"/>
      </rPr>
      <t xml:space="preserve">الصفوف الذهبية معالم ونقاط قرار ومدتها صفر</t>
    </r>
    <r>
      <rPr>
        <sz val="10"/>
        <color rgb="FF595959"/>
        <rFont val="Calibri"/>
        <family val="0"/>
        <charset val="1"/>
      </rPr>
      <t xml:space="preserve">.</t>
    </r>
  </si>
  <si>
    <r>
      <rPr>
        <sz val="10"/>
        <color rgb="FF595959"/>
        <rFont val="FreeSans"/>
        <family val="2"/>
      </rPr>
      <t xml:space="preserve">• أزرار ‏</t>
    </r>
    <r>
      <rPr>
        <sz val="10"/>
        <color rgb="FF595959"/>
        <rFont val="Calibri"/>
        <family val="0"/>
        <charset val="1"/>
      </rPr>
      <t xml:space="preserve">1‏ </t>
    </r>
    <r>
      <rPr>
        <sz val="10"/>
        <color rgb="FF595959"/>
        <rFont val="FreeSans"/>
        <family val="2"/>
      </rPr>
      <t xml:space="preserve">و‏</t>
    </r>
    <r>
      <rPr>
        <sz val="10"/>
        <color rgb="FF595959"/>
        <rFont val="Calibri"/>
        <family val="0"/>
        <charset val="1"/>
      </rPr>
      <t xml:space="preserve">2‏ </t>
    </r>
    <r>
      <rPr>
        <sz val="10"/>
        <color rgb="FF595959"/>
        <rFont val="FreeSans"/>
        <family val="2"/>
      </rPr>
      <t xml:space="preserve">و‏</t>
    </r>
    <r>
      <rPr>
        <sz val="10"/>
        <color rgb="FF595959"/>
        <rFont val="Calibri"/>
        <family val="0"/>
        <charset val="1"/>
      </rPr>
      <t xml:space="preserve">3‏ </t>
    </r>
    <r>
      <rPr>
        <sz val="10"/>
        <color rgb="FF595959"/>
        <rFont val="FreeSans"/>
        <family val="2"/>
      </rPr>
      <t xml:space="preserve">و‏</t>
    </r>
    <r>
      <rPr>
        <sz val="10"/>
        <color rgb="FF595959"/>
        <rFont val="Calibri"/>
        <family val="0"/>
        <charset val="1"/>
      </rPr>
      <t xml:space="preserve">4‏ </t>
    </r>
    <r>
      <rPr>
        <sz val="10"/>
        <color rgb="FF595959"/>
        <rFont val="FreeSans"/>
        <family val="2"/>
      </rPr>
      <t xml:space="preserve">على يمين الشاشة</t>
    </r>
    <r>
      <rPr>
        <sz val="10"/>
        <color rgb="FF595959"/>
        <rFont val="Calibri"/>
        <family val="0"/>
        <charset val="1"/>
      </rPr>
      <t xml:space="preserve">: ‏1‏ </t>
    </r>
    <r>
      <rPr>
        <sz val="10"/>
        <color rgb="FF595959"/>
        <rFont val="FreeSans"/>
        <family val="2"/>
      </rPr>
      <t xml:space="preserve">المراحل </t>
    </r>
    <r>
      <rPr>
        <sz val="10"/>
        <color rgb="FF595959"/>
        <rFont val="Calibri"/>
        <family val="0"/>
        <charset val="1"/>
      </rPr>
      <t xml:space="preserve">· ‏2‏ </t>
    </r>
    <r>
      <rPr>
        <sz val="10"/>
        <color rgb="FF595959"/>
        <rFont val="FreeSans"/>
        <family val="2"/>
      </rPr>
      <t xml:space="preserve">البنود الرئيسية </t>
    </r>
    <r>
      <rPr>
        <sz val="10"/>
        <color rgb="FF595959"/>
        <rFont val="Calibri"/>
        <family val="0"/>
        <charset val="1"/>
      </rPr>
      <t xml:space="preserve">· ‏3‏ </t>
    </r>
    <r>
      <rPr>
        <sz val="10"/>
        <color rgb="FF595959"/>
        <rFont val="FreeSans"/>
        <family val="2"/>
      </rPr>
      <t xml:space="preserve">البنود الفرعية </t>
    </r>
    <r>
      <rPr>
        <sz val="10"/>
        <color rgb="FF595959"/>
        <rFont val="Calibri"/>
        <family val="0"/>
        <charset val="1"/>
      </rPr>
      <t xml:space="preserve">· ‏4‏ </t>
    </r>
    <r>
      <rPr>
        <sz val="10"/>
        <color rgb="FF595959"/>
        <rFont val="FreeSans"/>
        <family val="2"/>
      </rPr>
      <t xml:space="preserve">خطوات التنفيذ بتواريخها — وعلامة </t>
    </r>
    <r>
      <rPr>
        <sz val="10"/>
        <color rgb="FF595959"/>
        <rFont val="Calibri"/>
        <family val="0"/>
        <charset val="1"/>
      </rPr>
      <t xml:space="preserve">+ </t>
    </r>
    <r>
      <rPr>
        <sz val="10"/>
        <color rgb="FF595959"/>
        <rFont val="FreeSans"/>
        <family val="2"/>
      </rPr>
      <t xml:space="preserve">و− تطوي كل بند وحده</t>
    </r>
    <r>
      <rPr>
        <sz val="10"/>
        <color rgb="FF595959"/>
        <rFont val="Calibri"/>
        <family val="0"/>
        <charset val="1"/>
      </rPr>
      <t xml:space="preserve">.</t>
    </r>
  </si>
  <si>
    <r>
      <rPr>
        <sz val="10"/>
        <color rgb="FF595959"/>
        <rFont val="FreeSans"/>
        <family val="2"/>
      </rPr>
      <t xml:space="preserve">الأساس</t>
    </r>
    <r>
      <rPr>
        <sz val="10"/>
        <color rgb="FF595959"/>
        <rFont val="Calibri"/>
        <family val="0"/>
        <charset val="1"/>
      </rPr>
      <t xml:space="preserve">: </t>
    </r>
    <r>
      <rPr>
        <sz val="10"/>
        <color rgb="FF595959"/>
        <rFont val="FreeSans"/>
        <family val="2"/>
      </rPr>
      <t xml:space="preserve">الخطة التفصيلية لمشروع قارئات نُسُك — موسم حج ‏</t>
    </r>
    <r>
      <rPr>
        <sz val="10"/>
        <color rgb="FF595959"/>
        <rFont val="Calibri"/>
        <family val="0"/>
        <charset val="1"/>
      </rPr>
      <t xml:space="preserve">1448‏</t>
    </r>
    <r>
      <rPr>
        <sz val="10"/>
        <color rgb="FF595959"/>
        <rFont val="FreeSans"/>
        <family val="2"/>
      </rPr>
      <t xml:space="preserve">هـ </t>
    </r>
    <r>
      <rPr>
        <sz val="10"/>
        <color rgb="FF595959"/>
        <rFont val="Calibri"/>
        <family val="0"/>
        <charset val="1"/>
      </rPr>
      <t xml:space="preserve">· </t>
    </r>
    <r>
      <rPr>
        <sz val="10"/>
        <color rgb="FF595959"/>
        <rFont val="FreeSans"/>
        <family val="2"/>
      </rPr>
      <t xml:space="preserve">إجمالي نقاط الرصد ‏</t>
    </r>
    <r>
      <rPr>
        <sz val="10"/>
        <color rgb="FF595959"/>
        <rFont val="Calibri"/>
        <family val="0"/>
        <charset val="1"/>
      </rPr>
      <t xml:space="preserve">1963‏ </t>
    </r>
    <r>
      <rPr>
        <sz val="10"/>
        <color rgb="FF595959"/>
        <rFont val="FreeSans"/>
        <family val="2"/>
      </rPr>
      <t xml:space="preserve">نقطة </t>
    </r>
    <r>
      <rPr>
        <sz val="10"/>
        <color rgb="FF595959"/>
        <rFont val="Calibri"/>
        <family val="0"/>
        <charset val="1"/>
      </rPr>
      <t xml:space="preserve">· ‏40‏ </t>
    </r>
    <r>
      <rPr>
        <sz val="10"/>
        <color rgb="FF595959"/>
        <rFont val="FreeSans"/>
        <family val="2"/>
      </rPr>
      <t xml:space="preserve">فريقًا و‏</t>
    </r>
    <r>
      <rPr>
        <sz val="10"/>
        <color rgb="FF595959"/>
        <rFont val="Calibri"/>
        <family val="0"/>
        <charset val="1"/>
      </rPr>
      <t xml:space="preserve">148‏ </t>
    </r>
    <r>
      <rPr>
        <sz val="10"/>
        <color rgb="FF595959"/>
        <rFont val="FreeSans"/>
        <family val="2"/>
      </rPr>
      <t xml:space="preserve">فنيًا ميدانيًا </t>
    </r>
    <r>
      <rPr>
        <sz val="10"/>
        <color rgb="FF595959"/>
        <rFont val="Calibri"/>
        <family val="0"/>
        <charset val="1"/>
      </rPr>
      <t xml:space="preserve">· </t>
    </r>
    <r>
      <rPr>
        <sz val="10"/>
        <color rgb="FF595959"/>
        <rFont val="FreeSans"/>
        <family val="2"/>
      </rPr>
      <t xml:space="preserve">أسبوع العمل من الأحد إلى الخميس</t>
    </r>
    <r>
      <rPr>
        <sz val="10"/>
        <color rgb="FF595959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</si>
</sst>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0%"/>
    <numFmt numFmtId="167" formatCode="0&quot; أيام&quot;"/>
    <numFmt numFmtId="168" formatCode="0\%"/>
    <numFmt numFmtId="169" formatCode="0&quot; يوم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FreeSans"/>
      <family val="2"/>
    </font>
    <font>
      <b val="true"/>
      <sz val="14"/>
      <color rgb="FFFFFFFF"/>
      <name val="Calibri"/>
      <family val="0"/>
      <charset val="1"/>
    </font>
    <font>
      <b val="true"/>
      <sz val="9"/>
      <color rgb="FF0A382F"/>
      <name val="FreeSans"/>
      <family val="2"/>
    </font>
    <font>
      <b val="true"/>
      <sz val="9"/>
      <color rgb="FF0A382F"/>
      <name val="Calibri"/>
      <family val="0"/>
      <charset val="1"/>
    </font>
    <font>
      <b val="true"/>
      <sz val="10"/>
      <color rgb="FF0A382F"/>
      <name val="FreeSans"/>
      <family val="2"/>
    </font>
    <font>
      <b val="true"/>
      <sz val="10"/>
      <color rgb="FF0000FF"/>
      <name val="Calibri"/>
      <family val="0"/>
      <charset val="1"/>
    </font>
    <font>
      <b val="true"/>
      <sz val="10"/>
      <color rgb="FF0A382F"/>
      <name val="Calibri"/>
      <family val="0"/>
      <charset val="1"/>
    </font>
    <font>
      <sz val="9"/>
      <color rgb="FF595959"/>
      <name val="FreeSans"/>
      <family val="2"/>
    </font>
    <font>
      <b val="true"/>
      <sz val="12"/>
      <color rgb="FFFFFFFF"/>
      <name val="FreeSans"/>
      <family val="2"/>
    </font>
    <font>
      <b val="true"/>
      <sz val="12"/>
      <color rgb="FF0A382F"/>
      <name val="Calibri"/>
      <family val="0"/>
      <charset val="1"/>
    </font>
    <font>
      <b val="true"/>
      <sz val="12"/>
      <color rgb="FF0A382F"/>
      <name val="FreeSans"/>
      <family val="2"/>
    </font>
    <font>
      <b val="true"/>
      <sz val="11"/>
      <color rgb="FF0E4C3F"/>
      <name val="Calibri"/>
      <family val="0"/>
      <charset val="1"/>
    </font>
    <font>
      <b val="true"/>
      <sz val="11"/>
      <color rgb="FF0E4C3F"/>
      <name val="FreeSans"/>
      <family val="2"/>
    </font>
    <font>
      <sz val="11"/>
      <color rgb="FF000000"/>
      <name val="Calibri"/>
      <family val="0"/>
      <charset val="1"/>
    </font>
    <font>
      <sz val="11"/>
      <color rgb="FF000000"/>
      <name val="FreeSans"/>
      <family val="2"/>
    </font>
    <font>
      <sz val="11"/>
      <color rgb="FF0000FF"/>
      <name val="Calibri"/>
      <family val="0"/>
      <charset val="1"/>
    </font>
    <font>
      <sz val="10"/>
      <color rgb="FF595959"/>
      <name val="FreeSans"/>
      <family val="2"/>
    </font>
    <font>
      <sz val="10"/>
      <color rgb="FF595959"/>
      <name val="Calibri"/>
      <family val="0"/>
      <charset val="1"/>
    </font>
    <font>
      <b val="true"/>
      <sz val="11"/>
      <color rgb="FF7A5F14"/>
      <name val="Calibri"/>
      <family val="0"/>
      <charset val="1"/>
    </font>
    <font>
      <b val="true"/>
      <sz val="11"/>
      <color rgb="FF7A5F14"/>
      <name val="FreeSans"/>
      <family val="2"/>
    </font>
    <font>
      <b val="true"/>
      <sz val="11"/>
      <color rgb="FF0000FF"/>
      <name val="Calibri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E4C3F"/>
        <bgColor rgb="FF0A382F"/>
      </patternFill>
    </fill>
    <fill>
      <patternFill patternType="solid">
        <fgColor rgb="FFE6EFEB"/>
        <bgColor rgb="FFF2F2F2"/>
      </patternFill>
    </fill>
    <fill>
      <patternFill patternType="solid">
        <fgColor rgb="FFFFF9DB"/>
        <bgColor rgb="FFFDF3D6"/>
      </patternFill>
    </fill>
    <fill>
      <patternFill patternType="solid">
        <fgColor rgb="FFF3F8F6"/>
        <bgColor rgb="FFF2F2F2"/>
      </patternFill>
    </fill>
    <fill>
      <patternFill patternType="solid">
        <fgColor rgb="FFF7F2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5D0"/>
      </left>
      <right style="thin">
        <color rgb="FFC8D5D0"/>
      </right>
      <top style="thin">
        <color rgb="FFC8D5D0"/>
      </top>
      <bottom style="thin">
        <color rgb="FFC8D5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4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4" fillId="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5" borderId="1" xfId="0" applyFont="true" applyBorder="true" applyAlignment="true" applyProtection="false">
      <alignment horizontal="right" vertical="center" textRotation="0" wrapText="true" indent="2" shrinkToFit="false" readingOrder="2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15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true" indent="4" shrinkToFit="false" readingOrder="2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9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6" borderId="1" xfId="0" applyFont="true" applyBorder="true" applyAlignment="true" applyProtection="false">
      <alignment horizontal="right" vertical="center" textRotation="0" wrapText="true" indent="2" shrinkToFit="false" readingOrder="2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4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22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6" fillId="5" borderId="1" xfId="0" applyFont="true" applyBorder="true" applyAlignment="true" applyProtection="false">
      <alignment horizontal="right" vertical="center" textRotation="0" wrapText="true" indent="4" shrinkToFit="false" readingOrder="2"/>
      <protection locked="true" hidden="false"/>
    </xf>
    <xf numFmtId="164" fontId="16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true" indent="6" shrinkToFit="false" readingOrder="2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true" indent="2" shrinkToFit="false" readingOrder="2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0E4C3F"/>
          <bgColor rgb="FF000000"/>
        </patternFill>
      </fill>
    </dxf>
    <dxf>
      <fill>
        <patternFill patternType="solid">
          <fgColor rgb="FFE6EFEB"/>
          <bgColor rgb="FF000000"/>
        </patternFill>
      </fill>
    </dxf>
    <dxf>
      <fill>
        <patternFill patternType="solid">
          <fgColor rgb="FFF3F8F6"/>
          <bgColor rgb="FF000000"/>
        </patternFill>
      </fill>
    </dxf>
    <dxf>
      <fill>
        <patternFill patternType="solid">
          <fgColor rgb="FFF7F2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A382F"/>
          <bgColor rgb="FF000000"/>
        </patternFill>
      </fill>
    </dxf>
    <dxf>
      <fill>
        <patternFill patternType="solid">
          <fgColor rgb="FF7A5F1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6E9DF"/>
          <bgColor rgb="FF000000"/>
        </patternFill>
      </fill>
    </dxf>
    <dxf>
      <fill>
        <patternFill patternType="solid">
          <fgColor rgb="FFFDF3D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Calibri"/>
        <charset val="1"/>
        <family val="0"/>
        <color rgb="FF0A382F"/>
        <sz val="11"/>
      </font>
      <fill>
        <patternFill>
          <bgColor rgb="FFD6E9DF"/>
        </patternFill>
      </fill>
    </dxf>
    <dxf>
      <font>
        <name val="Calibri"/>
        <charset val="1"/>
        <family val="0"/>
        <color rgb="FF7A5F14"/>
        <sz val="11"/>
      </font>
      <fill>
        <patternFill>
          <bgColor rgb="FFFDF3D6"/>
        </patternFill>
      </fill>
    </dxf>
    <dxf>
      <font>
        <name val="Calibri"/>
        <charset val="1"/>
        <family val="0"/>
        <b val="1"/>
        <color rgb="FF7A5F14"/>
        <sz val="11"/>
      </font>
      <fill>
        <patternFill>
          <bgColor rgb="FFFDF3D6"/>
        </patternFill>
      </fill>
    </dxf>
    <dxf>
      <font>
        <name val="Calibri"/>
        <charset val="1"/>
        <family val="0"/>
        <b val="1"/>
        <color rgb="FF8A2B2B"/>
        <sz val="11"/>
      </font>
      <fill>
        <patternFill>
          <bgColor rgb="FFF6DEDE"/>
        </patternFill>
      </fill>
    </dxf>
    <dxf>
      <font>
        <name val="Calibri"/>
        <charset val="1"/>
        <family val="0"/>
        <color rgb="FF595959"/>
        <sz val="11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F14"/>
      <rgbColor rgb="FF800080"/>
      <rgbColor rgb="FF008080"/>
      <rgbColor rgb="FFF2F2F2"/>
      <rgbColor rgb="FF808080"/>
      <rgbColor rgb="FF9999FF"/>
      <rgbColor rgb="FF993366"/>
      <rgbColor rgb="FFFFF9DB"/>
      <rgbColor rgb="FFE6EFEB"/>
      <rgbColor rgb="FF660066"/>
      <rgbColor rgb="FFFF8080"/>
      <rgbColor rgb="FF0066CC"/>
      <rgbColor rgb="FFC8D5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8F6"/>
      <rgbColor rgb="FFD6E9DF"/>
      <rgbColor rgb="FFFDF3D6"/>
      <rgbColor rgb="FFF7F2E6"/>
      <rgbColor rgb="FFFF99CC"/>
      <rgbColor rgb="FFCC99FF"/>
      <rgbColor rgb="FFF6DED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4C3F"/>
      <rgbColor rgb="FF339966"/>
      <rgbColor rgb="FF0A382F"/>
      <rgbColor rgb="FF333300"/>
      <rgbColor rgb="FF8A2B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4C3F"/>
    <outlinePr summaryBelow="false" summaryRight="false"/>
    <pageSetUpPr fitToPage="true"/>
  </sheetPr>
  <dimension ref="A1:M17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3" outlineLevelCol="0"/>
  <cols>
    <col collapsed="false" customWidth="true" hidden="false" outlineLevel="0" max="1" min="1" style="0" width="16"/>
    <col collapsed="false" customWidth="true" hidden="false" outlineLevel="0" max="2" min="2" style="0" width="54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26"/>
    <col collapsed="false" customWidth="true" hidden="false" outlineLevel="0" max="12" min="12" style="0" width="12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5.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9.5" hidden="false" customHeight="true" outlineLevel="0" collapsed="false">
      <c r="A3" s="4" t="s">
        <v>14</v>
      </c>
      <c r="B3" s="5" t="n">
        <v>46522</v>
      </c>
      <c r="C3" s="6" t="n">
        <f aca="false">$B$3-97</f>
        <v>46425</v>
      </c>
      <c r="D3" s="6" t="n">
        <f aca="false">$B$3-45</f>
        <v>46477</v>
      </c>
      <c r="E3" s="6" t="n">
        <f aca="false">$B$3-31</f>
        <v>46491</v>
      </c>
      <c r="F3" s="6" t="n">
        <f aca="false">$B$3-30</f>
        <v>46492</v>
      </c>
      <c r="G3" s="6" t="n">
        <f aca="false">$D$3-106</f>
        <v>46371</v>
      </c>
      <c r="H3" s="6" t="n">
        <f aca="false">$G$3-30</f>
        <v>46341</v>
      </c>
      <c r="I3" s="6" t="n">
        <f aca="false">$G$3-61</f>
        <v>46310</v>
      </c>
      <c r="J3" s="6" t="n">
        <f aca="false">$I$3-15</f>
        <v>46295</v>
      </c>
      <c r="K3" s="6" t="n">
        <f aca="false">$J$3-30</f>
        <v>46265</v>
      </c>
      <c r="L3" s="6" t="n">
        <f aca="true">TODAY()</f>
        <v>46260</v>
      </c>
      <c r="M3" s="7" t="n">
        <f aca="true">MEDIAN(0,(TODAY()-MIN(C6:C163))/(MAX(D6:D163)-MIN(C6:C163)),1)</f>
        <v>0.0692771084337349</v>
      </c>
    </row>
    <row r="4" customFormat="false" ht="15.75" hidden="false" customHeight="true" outlineLevel="0" collapsed="false">
      <c r="A4" s="8" t="s">
        <v>15</v>
      </c>
      <c r="B4" s="8" t="str">
        <f aca="true">IF(B3&lt;TODAY(),"مضى ","")&amp;TEXT(ABS(B3-TODAY()),"0")&amp;" يوم"</f>
        <v>262 يوم</v>
      </c>
      <c r="C4" s="8" t="str">
        <f aca="true">IF(C3&lt;TODAY(),"مضى ","")&amp;TEXT(ABS(C3-TODAY()),"0")&amp;" يوم"</f>
        <v>165 يوم</v>
      </c>
      <c r="D4" s="8" t="str">
        <f aca="true">IF(D3&lt;TODAY(),"مضى ","")&amp;TEXT(ABS(D3-TODAY()),"0")&amp;" يوم"</f>
        <v>217 يوم</v>
      </c>
      <c r="E4" s="8" t="str">
        <f aca="true">IF(E3&lt;TODAY(),"مضى ","")&amp;TEXT(ABS(E3-TODAY()),"0")&amp;" يوم"</f>
        <v>231 يوم</v>
      </c>
      <c r="F4" s="8" t="str">
        <f aca="true">IF(F3&lt;TODAY(),"مضى ","")&amp;TEXT(ABS(F3-TODAY()),"0")&amp;" يوم"</f>
        <v>232 يوم</v>
      </c>
      <c r="G4" s="8" t="str">
        <f aca="true">IF(G3&lt;TODAY(),"مضى ","")&amp;TEXT(ABS(G3-TODAY()),"0")&amp;" يوم"</f>
        <v>111 يوم</v>
      </c>
      <c r="H4" s="8" t="str">
        <f aca="true">IF(H3&lt;TODAY(),"مضى ","")&amp;TEXT(ABS(H3-TODAY()),"0")&amp;" يوم"</f>
        <v>81 يوم</v>
      </c>
      <c r="I4" s="8" t="str">
        <f aca="true">IF(I3&lt;TODAY(),"مضى ","")&amp;TEXT(ABS(I3-TODAY()),"0")&amp;" يوم"</f>
        <v>50 يوم</v>
      </c>
      <c r="J4" s="8" t="str">
        <f aca="true">IF(J3&lt;TODAY(),"مضى ","")&amp;TEXT(ABS(J3-TODAY()),"0")&amp;" يوم"</f>
        <v>35 يوم</v>
      </c>
      <c r="K4" s="8" t="str">
        <f aca="true">IF(K3&lt;TODAY(),"مضى ","")&amp;TEXT(ABS(K3-TODAY()),"0")&amp;" يوم"</f>
        <v>5 يوم</v>
      </c>
      <c r="L4" s="9"/>
      <c r="M4" s="9"/>
    </row>
    <row r="5" customFormat="false" ht="30" hidden="false" customHeight="true" outlineLevel="0" collapsed="false">
      <c r="A5" s="10" t="s">
        <v>16</v>
      </c>
      <c r="B5" s="10" t="s">
        <v>17</v>
      </c>
      <c r="C5" s="10" t="s">
        <v>18</v>
      </c>
      <c r="D5" s="10" t="s">
        <v>19</v>
      </c>
      <c r="E5" s="10" t="s">
        <v>20</v>
      </c>
      <c r="F5" s="10" t="s">
        <v>21</v>
      </c>
      <c r="G5" s="10" t="s">
        <v>22</v>
      </c>
      <c r="H5" s="10" t="s">
        <v>23</v>
      </c>
      <c r="I5" s="10" t="s">
        <v>24</v>
      </c>
      <c r="J5" s="10" t="s">
        <v>25</v>
      </c>
      <c r="K5" s="10" t="s">
        <v>26</v>
      </c>
      <c r="L5" s="10" t="s">
        <v>15</v>
      </c>
      <c r="M5" s="10" t="s">
        <v>27</v>
      </c>
    </row>
    <row r="6" customFormat="false" ht="25.5" hidden="false" customHeight="true" outlineLevel="0" collapsed="false">
      <c r="A6" s="11" t="s">
        <v>28</v>
      </c>
      <c r="B6" s="12" t="s">
        <v>29</v>
      </c>
      <c r="C6" s="13" t="n">
        <f aca="false">MIN(C7,C12,C13)</f>
        <v>46237</v>
      </c>
      <c r="D6" s="13" t="n">
        <f aca="false">MAX(D7,D12,D13)</f>
        <v>46569</v>
      </c>
      <c r="E6" s="14" t="n">
        <f aca="true">IF($I6="معلم",0,SUMPRODUCT((WEEKDAY(ROW(INDIRECT(INT($C6)&amp;":"&amp;INT($D6))),2)&lt;5)+(WEEKDAY(ROW(INDIRECT(INT($C6)&amp;":"&amp;INT($D6))),2)=7)))</f>
        <v>239</v>
      </c>
      <c r="F6" s="15" t="n">
        <f aca="false">ROUND(AVERAGE(F7,F12,F13),0)</f>
        <v>33</v>
      </c>
      <c r="G6" s="16" t="str">
        <f aca="false">IF(F6&gt;=100,"مكتملة",IF(F6&gt;0,"قيد التنفيذ","لم تبدأ"))</f>
        <v>قيد التنفيذ</v>
      </c>
      <c r="H6" s="16" t="str">
        <f aca="true">IF(F6&gt;=100,"مكتمل",IF(TODAY()&gt;INT(D6),"يستوجب المتابعة",IF(TODAY()&lt;INT(C6),"لم يحن موعده","ضمن مدته")))</f>
        <v>ضمن مدته</v>
      </c>
      <c r="I6" s="16" t="s">
        <v>30</v>
      </c>
      <c r="J6" s="17" t="s">
        <v>31</v>
      </c>
      <c r="K6" s="17" t="s">
        <v>32</v>
      </c>
      <c r="L6" s="18" t="n">
        <f aca="true">IF(F6&gt;=100,"—",INT(D6)-TODAY())</f>
        <v>309</v>
      </c>
      <c r="M6" s="12"/>
    </row>
    <row r="7" customFormat="false" ht="21.75" hidden="false" customHeight="true" outlineLevel="1" collapsed="true">
      <c r="A7" s="19" t="s">
        <v>33</v>
      </c>
      <c r="B7" s="20" t="s">
        <v>34</v>
      </c>
      <c r="C7" s="21" t="n">
        <f aca="false">MIN(C8,C9,C10,C11)</f>
        <v>46237</v>
      </c>
      <c r="D7" s="21" t="n">
        <f aca="false">MAX(D8,D9,D10,D11)</f>
        <v>46259</v>
      </c>
      <c r="E7" s="22" t="n">
        <f aca="true">IF($I7="معلم",0,SUMPRODUCT((WEEKDAY(ROW(INDIRECT(INT($C7)&amp;":"&amp;INT($D7))),2)&lt;5)+(WEEKDAY(ROW(INDIRECT(INT($C7)&amp;":"&amp;INT($D7))),2)=7)))</f>
        <v>17</v>
      </c>
      <c r="F7" s="23" t="n">
        <f aca="false">ROUND(AVERAGE(F8,F9,F10,F11),0)</f>
        <v>100</v>
      </c>
      <c r="G7" s="24" t="str">
        <f aca="false">IF(F7&gt;=100,"مكتملة",IF(F7&gt;0,"قيد التنفيذ","لم تبدأ"))</f>
        <v>مكتملة</v>
      </c>
      <c r="H7" s="24" t="str">
        <f aca="true">IF(F7&gt;=100,"مكتمل",IF(TODAY()&gt;INT(D7),"يستوجب المتابعة",IF(TODAY()&lt;INT(C7),"لم يحن موعده","ضمن مدته")))</f>
        <v>مكتمل</v>
      </c>
      <c r="I7" s="24" t="s">
        <v>30</v>
      </c>
      <c r="J7" s="25" t="s">
        <v>35</v>
      </c>
      <c r="K7" s="25" t="s">
        <v>32</v>
      </c>
      <c r="L7" s="26" t="str">
        <f aca="true">IF(F7&gt;=100,"—",INT(D7)-TODAY())</f>
        <v>—</v>
      </c>
      <c r="M7" s="27"/>
    </row>
    <row r="8" customFormat="false" ht="21.75" hidden="true" customHeight="true" outlineLevel="2" collapsed="false">
      <c r="A8" s="28" t="s">
        <v>36</v>
      </c>
      <c r="B8" s="29" t="s">
        <v>37</v>
      </c>
      <c r="C8" s="30" t="n">
        <f aca="false">$K$3-28</f>
        <v>46237</v>
      </c>
      <c r="D8" s="30" t="n">
        <f aca="false">$K$3-11</f>
        <v>46254</v>
      </c>
      <c r="E8" s="31" t="n">
        <f aca="true">IF($I8="معلم",0,SUMPRODUCT((WEEKDAY(ROW(INDIRECT(INT($C8)&amp;":"&amp;INT($D8))),2)&lt;5)+(WEEKDAY(ROW(INDIRECT(INT($C8)&amp;":"&amp;INT($D8))),2)=7)))</f>
        <v>14</v>
      </c>
      <c r="F8" s="32" t="n">
        <v>100</v>
      </c>
      <c r="G8" s="33" t="str">
        <f aca="false">IF(F8&gt;=100,"مكتملة",IF(F8&gt;0,"قيد التنفيذ","لم تبدأ"))</f>
        <v>مكتملة</v>
      </c>
      <c r="H8" s="33" t="str">
        <f aca="true">IF(F8&gt;=100,"مكتمل",IF(TODAY()&gt;INT(D8),"يستوجب المتابعة",IF(TODAY()&lt;INT(C8),"لم يحن موعده","ضمن مدته")))</f>
        <v>مكتمل</v>
      </c>
      <c r="I8" s="33" t="s">
        <v>30</v>
      </c>
      <c r="J8" s="34" t="s">
        <v>31</v>
      </c>
      <c r="K8" s="34" t="s">
        <v>32</v>
      </c>
      <c r="L8" s="35" t="str">
        <f aca="true">IF(F8&gt;=100,"—",INT(D8)-TODAY())</f>
        <v>—</v>
      </c>
      <c r="M8" s="36" t="s">
        <v>38</v>
      </c>
    </row>
    <row r="9" customFormat="false" ht="21.75" hidden="true" customHeight="true" outlineLevel="2" collapsed="false">
      <c r="A9" s="28" t="s">
        <v>39</v>
      </c>
      <c r="B9" s="29" t="s">
        <v>40</v>
      </c>
      <c r="C9" s="30" t="n">
        <f aca="false">$K$3-28</f>
        <v>46237</v>
      </c>
      <c r="D9" s="30" t="n">
        <f aca="false">$K$3-11</f>
        <v>46254</v>
      </c>
      <c r="E9" s="31" t="n">
        <f aca="true">IF($I9="معلم",0,SUMPRODUCT((WEEKDAY(ROW(INDIRECT(INT($C9)&amp;":"&amp;INT($D9))),2)&lt;5)+(WEEKDAY(ROW(INDIRECT(INT($C9)&amp;":"&amp;INT($D9))),2)=7)))</f>
        <v>14</v>
      </c>
      <c r="F9" s="32" t="n">
        <v>100</v>
      </c>
      <c r="G9" s="33" t="str">
        <f aca="false">IF(F9&gt;=100,"مكتملة",IF(F9&gt;0,"قيد التنفيذ","لم تبدأ"))</f>
        <v>مكتملة</v>
      </c>
      <c r="H9" s="33" t="str">
        <f aca="true">IF(F9&gt;=100,"مكتمل",IF(TODAY()&gt;INT(D9),"يستوجب المتابعة",IF(TODAY()&lt;INT(C9),"لم يحن موعده","ضمن مدته")))</f>
        <v>مكتمل</v>
      </c>
      <c r="I9" s="33" t="s">
        <v>30</v>
      </c>
      <c r="J9" s="34" t="s">
        <v>35</v>
      </c>
      <c r="K9" s="34" t="s">
        <v>32</v>
      </c>
      <c r="L9" s="35" t="str">
        <f aca="true">IF(F9&gt;=100,"—",INT(D9)-TODAY())</f>
        <v>—</v>
      </c>
      <c r="M9" s="36" t="s">
        <v>41</v>
      </c>
    </row>
    <row r="10" customFormat="false" ht="21.75" hidden="true" customHeight="true" outlineLevel="2" collapsed="false">
      <c r="A10" s="28" t="s">
        <v>42</v>
      </c>
      <c r="B10" s="29" t="s">
        <v>43</v>
      </c>
      <c r="C10" s="30" t="n">
        <f aca="false">$K$3-21</f>
        <v>46244</v>
      </c>
      <c r="D10" s="30" t="n">
        <f aca="false">$K$3-6</f>
        <v>46259</v>
      </c>
      <c r="E10" s="31" t="n">
        <f aca="true">IF($I10="معلم",0,SUMPRODUCT((WEEKDAY(ROW(INDIRECT(INT($C10)&amp;":"&amp;INT($D10))),2)&lt;5)+(WEEKDAY(ROW(INDIRECT(INT($C10)&amp;":"&amp;INT($D10))),2)=7)))</f>
        <v>12</v>
      </c>
      <c r="F10" s="32" t="n">
        <v>100</v>
      </c>
      <c r="G10" s="33" t="str">
        <f aca="false">IF(F10&gt;=100,"مكتملة",IF(F10&gt;0,"قيد التنفيذ","لم تبدأ"))</f>
        <v>مكتملة</v>
      </c>
      <c r="H10" s="33" t="str">
        <f aca="true">IF(F10&gt;=100,"مكتمل",IF(TODAY()&gt;INT(D10),"يستوجب المتابعة",IF(TODAY()&lt;INT(C10),"لم يحن موعده","ضمن مدته")))</f>
        <v>مكتمل</v>
      </c>
      <c r="I10" s="33" t="s">
        <v>30</v>
      </c>
      <c r="J10" s="34" t="s">
        <v>35</v>
      </c>
      <c r="K10" s="34" t="s">
        <v>32</v>
      </c>
      <c r="L10" s="35" t="str">
        <f aca="true">IF(F10&gt;=100,"—",INT(D10)-TODAY())</f>
        <v>—</v>
      </c>
      <c r="M10" s="36"/>
    </row>
    <row r="11" customFormat="false" ht="21.75" hidden="true" customHeight="true" outlineLevel="2" collapsed="false">
      <c r="A11" s="28" t="s">
        <v>44</v>
      </c>
      <c r="B11" s="29" t="s">
        <v>45</v>
      </c>
      <c r="C11" s="30" t="n">
        <f aca="false">$K$3-14</f>
        <v>46251</v>
      </c>
      <c r="D11" s="30" t="n">
        <f aca="false">$K$3-6</f>
        <v>46259</v>
      </c>
      <c r="E11" s="31" t="n">
        <f aca="true">IF($I11="معلم",0,SUMPRODUCT((WEEKDAY(ROW(INDIRECT(INT($C11)&amp;":"&amp;INT($D11))),2)&lt;5)+(WEEKDAY(ROW(INDIRECT(INT($C11)&amp;":"&amp;INT($D11))),2)=7)))</f>
        <v>7</v>
      </c>
      <c r="F11" s="32" t="n">
        <v>100</v>
      </c>
      <c r="G11" s="33" t="str">
        <f aca="false">IF(F11&gt;=100,"مكتملة",IF(F11&gt;0,"قيد التنفيذ","لم تبدأ"))</f>
        <v>مكتملة</v>
      </c>
      <c r="H11" s="33" t="str">
        <f aca="true">IF(F11&gt;=100,"مكتمل",IF(TODAY()&gt;INT(D11),"يستوجب المتابعة",IF(TODAY()&lt;INT(C11),"لم يحن موعده","ضمن مدته")))</f>
        <v>مكتمل</v>
      </c>
      <c r="I11" s="33" t="s">
        <v>30</v>
      </c>
      <c r="J11" s="34" t="s">
        <v>31</v>
      </c>
      <c r="K11" s="34" t="s">
        <v>46</v>
      </c>
      <c r="L11" s="35" t="str">
        <f aca="true">IF(F11&gt;=100,"—",INT(D11)-TODAY())</f>
        <v>—</v>
      </c>
      <c r="M11" s="36" t="s">
        <v>47</v>
      </c>
    </row>
    <row r="12" customFormat="false" ht="21.75" hidden="false" customHeight="true" outlineLevel="1" collapsed="false">
      <c r="A12" s="37" t="s">
        <v>48</v>
      </c>
      <c r="B12" s="38" t="s">
        <v>49</v>
      </c>
      <c r="C12" s="39" t="n">
        <f aca="false">$K$3</f>
        <v>46265</v>
      </c>
      <c r="D12" s="39" t="n">
        <f aca="false">$K$3</f>
        <v>46265</v>
      </c>
      <c r="E12" s="40" t="n">
        <f aca="true">IF($I12="معلم",0,SUMPRODUCT((WEEKDAY(ROW(INDIRECT(INT($C12)&amp;":"&amp;INT($D12))),2)&lt;5)+(WEEKDAY(ROW(INDIRECT(INT($C12)&amp;":"&amp;INT($D12))),2)=7)))</f>
        <v>0</v>
      </c>
      <c r="F12" s="41" t="n">
        <v>0</v>
      </c>
      <c r="G12" s="42" t="str">
        <f aca="false">IF(F12&gt;=100,"مكتملة",IF(F12&gt;0,"قيد التنفيذ","لم تبدأ"))</f>
        <v>لم تبدأ</v>
      </c>
      <c r="H12" s="42" t="str">
        <f aca="true">IF(F12&gt;=100,"مكتمل",IF(TODAY()&gt;INT(D12),"يستوجب المتابعة",IF(TODAY()&lt;INT(C12),"لم يحن موعده","ضمن مدته")))</f>
        <v>لم يحن موعده</v>
      </c>
      <c r="I12" s="42" t="s">
        <v>50</v>
      </c>
      <c r="J12" s="43" t="s">
        <v>31</v>
      </c>
      <c r="K12" s="43" t="s">
        <v>51</v>
      </c>
      <c r="L12" s="44" t="n">
        <f aca="true">IF(F12&gt;=100,"—",INT(D12)-TODAY())</f>
        <v>5</v>
      </c>
      <c r="M12" s="45" t="s">
        <v>52</v>
      </c>
    </row>
    <row r="13" customFormat="false" ht="21.75" hidden="false" customHeight="true" outlineLevel="1" collapsed="true">
      <c r="A13" s="19" t="s">
        <v>53</v>
      </c>
      <c r="B13" s="20" t="s">
        <v>54</v>
      </c>
      <c r="C13" s="21" t="n">
        <f aca="false">MIN(C14,C15,C16,C17)</f>
        <v>46265</v>
      </c>
      <c r="D13" s="21" t="n">
        <f aca="false">MAX(D14,D15,D16,D17)</f>
        <v>46569</v>
      </c>
      <c r="E13" s="22" t="n">
        <f aca="true">IF($I13="معلم",0,SUMPRODUCT((WEEKDAY(ROW(INDIRECT(INT($C13)&amp;":"&amp;INT($D13))),2)&lt;5)+(WEEKDAY(ROW(INDIRECT(INT($C13)&amp;":"&amp;INT($D13))),2)=7)))</f>
        <v>219</v>
      </c>
      <c r="F13" s="23" t="n">
        <f aca="false">ROUND(AVERAGE(F14,F15,F16,F17),0)</f>
        <v>0</v>
      </c>
      <c r="G13" s="24" t="str">
        <f aca="false">IF(F13&gt;=100,"مكتملة",IF(F13&gt;0,"قيد التنفيذ","لم تبدأ"))</f>
        <v>لم تبدأ</v>
      </c>
      <c r="H13" s="24" t="str">
        <f aca="true">IF(F13&gt;=100,"مكتمل",IF(TODAY()&gt;INT(D13),"يستوجب المتابعة",IF(TODAY()&lt;INT(C13),"لم يحن موعده","ضمن مدته")))</f>
        <v>لم يحن موعده</v>
      </c>
      <c r="I13" s="24" t="s">
        <v>30</v>
      </c>
      <c r="J13" s="25" t="s">
        <v>35</v>
      </c>
      <c r="K13" s="25" t="s">
        <v>46</v>
      </c>
      <c r="L13" s="26" t="n">
        <f aca="true">IF(F13&gt;=100,"—",INT(D13)-TODAY())</f>
        <v>309</v>
      </c>
      <c r="M13" s="27"/>
    </row>
    <row r="14" customFormat="false" ht="21.75" hidden="true" customHeight="true" outlineLevel="2" collapsed="false">
      <c r="A14" s="28" t="s">
        <v>55</v>
      </c>
      <c r="B14" s="29" t="s">
        <v>56</v>
      </c>
      <c r="C14" s="30" t="n">
        <f aca="false">$G$3</f>
        <v>46371</v>
      </c>
      <c r="D14" s="30" t="n">
        <f aca="false">$B$3+2</f>
        <v>46524</v>
      </c>
      <c r="E14" s="31" t="n">
        <f aca="true">IF($I14="معلم",0,SUMPRODUCT((WEEKDAY(ROW(INDIRECT(INT($C14)&amp;":"&amp;INT($D14))),2)&lt;5)+(WEEKDAY(ROW(INDIRECT(INT($C14)&amp;":"&amp;INT($D14))),2)=7)))</f>
        <v>110</v>
      </c>
      <c r="F14" s="32" t="n">
        <v>0</v>
      </c>
      <c r="G14" s="33" t="str">
        <f aca="false">IF(F14&gt;=100,"مكتملة",IF(F14&gt;0,"قيد التنفيذ","لم تبدأ"))</f>
        <v>لم تبدأ</v>
      </c>
      <c r="H14" s="33" t="str">
        <f aca="true">IF(F14&gt;=100,"مكتمل",IF(TODAY()&gt;INT(D14),"يستوجب المتابعة",IF(TODAY()&lt;INT(C14),"لم يحن موعده","ضمن مدته")))</f>
        <v>لم يحن موعده</v>
      </c>
      <c r="I14" s="33" t="s">
        <v>30</v>
      </c>
      <c r="J14" s="34" t="s">
        <v>57</v>
      </c>
      <c r="K14" s="34" t="s">
        <v>32</v>
      </c>
      <c r="L14" s="35" t="n">
        <f aca="true">IF(F14&gt;=100,"—",INT(D14)-TODAY())</f>
        <v>264</v>
      </c>
      <c r="M14" s="36" t="s">
        <v>58</v>
      </c>
    </row>
    <row r="15" customFormat="false" ht="21.75" hidden="true" customHeight="true" outlineLevel="2" collapsed="false">
      <c r="A15" s="28" t="s">
        <v>59</v>
      </c>
      <c r="B15" s="29" t="s">
        <v>60</v>
      </c>
      <c r="C15" s="30" t="n">
        <f aca="false">$K$3</f>
        <v>46265</v>
      </c>
      <c r="D15" s="30" t="n">
        <f aca="false">$B$3+47</f>
        <v>46569</v>
      </c>
      <c r="E15" s="31" t="n">
        <f aca="true">IF($I15="معلم",0,SUMPRODUCT((WEEKDAY(ROW(INDIRECT(INT($C15)&amp;":"&amp;INT($D15))),2)&lt;5)+(WEEKDAY(ROW(INDIRECT(INT($C15)&amp;":"&amp;INT($D15))),2)=7)))</f>
        <v>219</v>
      </c>
      <c r="F15" s="32" t="n">
        <v>0</v>
      </c>
      <c r="G15" s="33" t="str">
        <f aca="false">IF(F15&gt;=100,"مكتملة",IF(F15&gt;0,"قيد التنفيذ","لم تبدأ"))</f>
        <v>لم تبدأ</v>
      </c>
      <c r="H15" s="33" t="str">
        <f aca="true">IF(F15&gt;=100,"مكتمل",IF(TODAY()&gt;INT(D15),"يستوجب المتابعة",IF(TODAY()&lt;INT(C15),"لم يحن موعده","ضمن مدته")))</f>
        <v>لم يحن موعده</v>
      </c>
      <c r="I15" s="33" t="s">
        <v>30</v>
      </c>
      <c r="J15" s="34" t="s">
        <v>31</v>
      </c>
      <c r="K15" s="34" t="s">
        <v>46</v>
      </c>
      <c r="L15" s="35" t="n">
        <f aca="true">IF(F15&gt;=100,"—",INT(D15)-TODAY())</f>
        <v>309</v>
      </c>
      <c r="M15" s="36" t="s">
        <v>61</v>
      </c>
    </row>
    <row r="16" customFormat="false" ht="21.75" hidden="true" customHeight="true" outlineLevel="2" collapsed="false">
      <c r="A16" s="28" t="s">
        <v>62</v>
      </c>
      <c r="B16" s="29" t="s">
        <v>63</v>
      </c>
      <c r="C16" s="30" t="n">
        <f aca="false">$K$3</f>
        <v>46265</v>
      </c>
      <c r="D16" s="30" t="n">
        <f aca="false">$B$3+47</f>
        <v>46569</v>
      </c>
      <c r="E16" s="31" t="n">
        <f aca="true">IF($I16="معلم",0,SUMPRODUCT((WEEKDAY(ROW(INDIRECT(INT($C16)&amp;":"&amp;INT($D16))),2)&lt;5)+(WEEKDAY(ROW(INDIRECT(INT($C16)&amp;":"&amp;INT($D16))),2)=7)))</f>
        <v>219</v>
      </c>
      <c r="F16" s="32" t="n">
        <v>0</v>
      </c>
      <c r="G16" s="33" t="str">
        <f aca="false">IF(F16&gt;=100,"مكتملة",IF(F16&gt;0,"قيد التنفيذ","لم تبدأ"))</f>
        <v>لم تبدأ</v>
      </c>
      <c r="H16" s="33" t="str">
        <f aca="true">IF(F16&gt;=100,"مكتمل",IF(TODAY()&gt;INT(D16),"يستوجب المتابعة",IF(TODAY()&lt;INT(C16),"لم يحن موعده","ضمن مدته")))</f>
        <v>لم يحن موعده</v>
      </c>
      <c r="I16" s="33" t="s">
        <v>30</v>
      </c>
      <c r="J16" s="34" t="s">
        <v>35</v>
      </c>
      <c r="K16" s="34" t="s">
        <v>32</v>
      </c>
      <c r="L16" s="35" t="n">
        <f aca="true">IF(F16&gt;=100,"—",INT(D16)-TODAY())</f>
        <v>309</v>
      </c>
      <c r="M16" s="36" t="s">
        <v>64</v>
      </c>
    </row>
    <row r="17" customFormat="false" ht="21.75" hidden="true" customHeight="true" outlineLevel="2" collapsed="false">
      <c r="A17" s="28" t="s">
        <v>65</v>
      </c>
      <c r="B17" s="29" t="s">
        <v>66</v>
      </c>
      <c r="C17" s="30" t="n">
        <f aca="false">$K$3</f>
        <v>46265</v>
      </c>
      <c r="D17" s="30" t="n">
        <f aca="false">$B$3+47</f>
        <v>46569</v>
      </c>
      <c r="E17" s="31" t="n">
        <f aca="true">IF($I17="معلم",0,SUMPRODUCT((WEEKDAY(ROW(INDIRECT(INT($C17)&amp;":"&amp;INT($D17))),2)&lt;5)+(WEEKDAY(ROW(INDIRECT(INT($C17)&amp;":"&amp;INT($D17))),2)=7)))</f>
        <v>219</v>
      </c>
      <c r="F17" s="32" t="n">
        <v>0</v>
      </c>
      <c r="G17" s="33" t="str">
        <f aca="false">IF(F17&gt;=100,"مكتملة",IF(F17&gt;0,"قيد التنفيذ","لم تبدأ"))</f>
        <v>لم تبدأ</v>
      </c>
      <c r="H17" s="33" t="str">
        <f aca="true">IF(F17&gt;=100,"مكتمل",IF(TODAY()&gt;INT(D17),"يستوجب المتابعة",IF(TODAY()&lt;INT(C17),"لم يحن موعده","ضمن مدته")))</f>
        <v>لم يحن موعده</v>
      </c>
      <c r="I17" s="33" t="s">
        <v>30</v>
      </c>
      <c r="J17" s="34" t="s">
        <v>35</v>
      </c>
      <c r="K17" s="34" t="s">
        <v>32</v>
      </c>
      <c r="L17" s="35" t="n">
        <f aca="true">IF(F17&gt;=100,"—",INT(D17)-TODAY())</f>
        <v>309</v>
      </c>
      <c r="M17" s="36" t="s">
        <v>67</v>
      </c>
    </row>
    <row r="18" customFormat="false" ht="25.5" hidden="false" customHeight="true" outlineLevel="0" collapsed="false">
      <c r="A18" s="11" t="s">
        <v>68</v>
      </c>
      <c r="B18" s="12" t="s">
        <v>69</v>
      </c>
      <c r="C18" s="13" t="n">
        <f aca="false">MIN(C19,C24,C27,C30)</f>
        <v>46264</v>
      </c>
      <c r="D18" s="13" t="n">
        <f aca="false">MAX(D19,D24,D27,D30)</f>
        <v>46295</v>
      </c>
      <c r="E18" s="14" t="n">
        <f aca="true">IF($I18="معلم",0,SUMPRODUCT((WEEKDAY(ROW(INDIRECT(INT($C18)&amp;":"&amp;INT($D18))),2)&lt;5)+(WEEKDAY(ROW(INDIRECT(INT($C18)&amp;":"&amp;INT($D18))),2)=7)))</f>
        <v>24</v>
      </c>
      <c r="F18" s="15" t="n">
        <f aca="false">ROUND(AVERAGE(F19,F24,F27,F30),0)</f>
        <v>9</v>
      </c>
      <c r="G18" s="16" t="str">
        <f aca="false">IF(F18&gt;=100,"مكتملة",IF(F18&gt;0,"قيد التنفيذ","لم تبدأ"))</f>
        <v>قيد التنفيذ</v>
      </c>
      <c r="H18" s="16" t="str">
        <f aca="true">IF(F18&gt;=100,"مكتمل",IF(TODAY()&gt;INT(D18),"يستوجب المتابعة",IF(TODAY()&lt;INT(C18),"لم يحن موعده","ضمن مدته")))</f>
        <v>لم يحن موعده</v>
      </c>
      <c r="I18" s="16" t="s">
        <v>30</v>
      </c>
      <c r="J18" s="17" t="s">
        <v>35</v>
      </c>
      <c r="K18" s="17" t="s">
        <v>70</v>
      </c>
      <c r="L18" s="18" t="n">
        <f aca="true">IF(F18&gt;=100,"—",INT(D18)-TODAY())</f>
        <v>35</v>
      </c>
      <c r="M18" s="12"/>
    </row>
    <row r="19" customFormat="false" ht="21.75" hidden="false" customHeight="true" outlineLevel="1" collapsed="true">
      <c r="A19" s="19" t="s">
        <v>71</v>
      </c>
      <c r="B19" s="20" t="s">
        <v>72</v>
      </c>
      <c r="C19" s="21" t="n">
        <f aca="false">MIN(C20,C21,C22,C23)</f>
        <v>46264</v>
      </c>
      <c r="D19" s="21" t="n">
        <f aca="false">MAX(D20,D21,D22,D23)</f>
        <v>46295</v>
      </c>
      <c r="E19" s="22" t="n">
        <f aca="true">IF($I19="معلم",0,SUMPRODUCT((WEEKDAY(ROW(INDIRECT(INT($C19)&amp;":"&amp;INT($D19))),2)&lt;5)+(WEEKDAY(ROW(INDIRECT(INT($C19)&amp;":"&amp;INT($D19))),2)=7)))</f>
        <v>24</v>
      </c>
      <c r="F19" s="23" t="n">
        <f aca="false">ROUND(AVERAGE(F20,F21,F22,F23),0)</f>
        <v>19</v>
      </c>
      <c r="G19" s="24" t="str">
        <f aca="false">IF(F19&gt;=100,"مكتملة",IF(F19&gt;0,"قيد التنفيذ","لم تبدأ"))</f>
        <v>قيد التنفيذ</v>
      </c>
      <c r="H19" s="24" t="str">
        <f aca="true">IF(F19&gt;=100,"مكتمل",IF(TODAY()&gt;INT(D19),"يستوجب المتابعة",IF(TODAY()&lt;INT(C19),"لم يحن موعده","ضمن مدته")))</f>
        <v>لم يحن موعده</v>
      </c>
      <c r="I19" s="24" t="s">
        <v>30</v>
      </c>
      <c r="J19" s="25" t="s">
        <v>73</v>
      </c>
      <c r="K19" s="25" t="s">
        <v>74</v>
      </c>
      <c r="L19" s="26" t="n">
        <f aca="true">IF(F19&gt;=100,"—",INT(D19)-TODAY())</f>
        <v>35</v>
      </c>
      <c r="M19" s="27"/>
    </row>
    <row r="20" customFormat="false" ht="21.75" hidden="true" customHeight="true" outlineLevel="2" collapsed="false">
      <c r="A20" s="28" t="s">
        <v>75</v>
      </c>
      <c r="B20" s="29" t="s">
        <v>76</v>
      </c>
      <c r="C20" s="30" t="n">
        <f aca="false">$J$3-31</f>
        <v>46264</v>
      </c>
      <c r="D20" s="30" t="n">
        <f aca="false">$J$3</f>
        <v>46295</v>
      </c>
      <c r="E20" s="31" t="n">
        <f aca="true">IF($I20="معلم",0,SUMPRODUCT((WEEKDAY(ROW(INDIRECT(INT($C20)&amp;":"&amp;INT($D20))),2)&lt;5)+(WEEKDAY(ROW(INDIRECT(INT($C20)&amp;":"&amp;INT($D20))),2)=7)))</f>
        <v>24</v>
      </c>
      <c r="F20" s="32" t="n">
        <v>20</v>
      </c>
      <c r="G20" s="33" t="str">
        <f aca="false">IF(F20&gt;=100,"مكتملة",IF(F20&gt;0,"قيد التنفيذ","لم تبدأ"))</f>
        <v>قيد التنفيذ</v>
      </c>
      <c r="H20" s="33" t="str">
        <f aca="true">IF(F20&gt;=100,"مكتمل",IF(TODAY()&gt;INT(D20),"يستوجب المتابعة",IF(TODAY()&lt;INT(C20),"لم يحن موعده","ضمن مدته")))</f>
        <v>لم يحن موعده</v>
      </c>
      <c r="I20" s="33" t="s">
        <v>30</v>
      </c>
      <c r="J20" s="34" t="s">
        <v>35</v>
      </c>
      <c r="K20" s="34" t="s">
        <v>77</v>
      </c>
      <c r="L20" s="35" t="n">
        <f aca="true">IF(F20&gt;=100,"—",INT(D20)-TODAY())</f>
        <v>35</v>
      </c>
      <c r="M20" s="36" t="s">
        <v>78</v>
      </c>
    </row>
    <row r="21" customFormat="false" ht="21.75" hidden="true" customHeight="true" outlineLevel="2" collapsed="false">
      <c r="A21" s="28" t="s">
        <v>79</v>
      </c>
      <c r="B21" s="29" t="s">
        <v>80</v>
      </c>
      <c r="C21" s="30" t="n">
        <f aca="false">$J$3-31</f>
        <v>46264</v>
      </c>
      <c r="D21" s="30" t="n">
        <f aca="false">$J$3</f>
        <v>46295</v>
      </c>
      <c r="E21" s="31" t="n">
        <f aca="true">IF($I21="معلم",0,SUMPRODUCT((WEEKDAY(ROW(INDIRECT(INT($C21)&amp;":"&amp;INT($D21))),2)&lt;5)+(WEEKDAY(ROW(INDIRECT(INT($C21)&amp;":"&amp;INT($D21))),2)=7)))</f>
        <v>24</v>
      </c>
      <c r="F21" s="32" t="n">
        <v>15</v>
      </c>
      <c r="G21" s="33" t="str">
        <f aca="false">IF(F21&gt;=100,"مكتملة",IF(F21&gt;0,"قيد التنفيذ","لم تبدأ"))</f>
        <v>قيد التنفيذ</v>
      </c>
      <c r="H21" s="33" t="str">
        <f aca="true">IF(F21&gt;=100,"مكتمل",IF(TODAY()&gt;INT(D21),"يستوجب المتابعة",IF(TODAY()&lt;INT(C21),"لم يحن موعده","ضمن مدته")))</f>
        <v>لم يحن موعده</v>
      </c>
      <c r="I21" s="33" t="s">
        <v>30</v>
      </c>
      <c r="J21" s="34" t="s">
        <v>35</v>
      </c>
      <c r="K21" s="34" t="s">
        <v>81</v>
      </c>
      <c r="L21" s="35" t="n">
        <f aca="true">IF(F21&gt;=100,"—",INT(D21)-TODAY())</f>
        <v>35</v>
      </c>
      <c r="M21" s="36" t="s">
        <v>82</v>
      </c>
    </row>
    <row r="22" customFormat="false" ht="21.75" hidden="true" customHeight="true" outlineLevel="2" collapsed="false">
      <c r="A22" s="28" t="s">
        <v>83</v>
      </c>
      <c r="B22" s="29" t="s">
        <v>84</v>
      </c>
      <c r="C22" s="30" t="n">
        <f aca="false">$J$3-31</f>
        <v>46264</v>
      </c>
      <c r="D22" s="30" t="n">
        <f aca="false">$J$3</f>
        <v>46295</v>
      </c>
      <c r="E22" s="31" t="n">
        <f aca="true">IF($I22="معلم",0,SUMPRODUCT((WEEKDAY(ROW(INDIRECT(INT($C22)&amp;":"&amp;INT($D22))),2)&lt;5)+(WEEKDAY(ROW(INDIRECT(INT($C22)&amp;":"&amp;INT($D22))),2)=7)))</f>
        <v>24</v>
      </c>
      <c r="F22" s="32" t="n">
        <v>15</v>
      </c>
      <c r="G22" s="33" t="str">
        <f aca="false">IF(F22&gt;=100,"مكتملة",IF(F22&gt;0,"قيد التنفيذ","لم تبدأ"))</f>
        <v>قيد التنفيذ</v>
      </c>
      <c r="H22" s="33" t="str">
        <f aca="true">IF(F22&gt;=100,"مكتمل",IF(TODAY()&gt;INT(D22),"يستوجب المتابعة",IF(TODAY()&lt;INT(C22),"لم يحن موعده","ضمن مدته")))</f>
        <v>لم يحن موعده</v>
      </c>
      <c r="I22" s="33" t="s">
        <v>30</v>
      </c>
      <c r="J22" s="34" t="s">
        <v>35</v>
      </c>
      <c r="K22" s="34" t="s">
        <v>77</v>
      </c>
      <c r="L22" s="35" t="n">
        <f aca="true">IF(F22&gt;=100,"—",INT(D22)-TODAY())</f>
        <v>35</v>
      </c>
      <c r="M22" s="36" t="s">
        <v>85</v>
      </c>
    </row>
    <row r="23" customFormat="false" ht="21.75" hidden="true" customHeight="true" outlineLevel="2" collapsed="false">
      <c r="A23" s="28" t="s">
        <v>86</v>
      </c>
      <c r="B23" s="29" t="s">
        <v>87</v>
      </c>
      <c r="C23" s="30" t="n">
        <f aca="false">$J$3-31</f>
        <v>46264</v>
      </c>
      <c r="D23" s="30" t="n">
        <f aca="false">$J$3</f>
        <v>46295</v>
      </c>
      <c r="E23" s="31" t="n">
        <f aca="true">IF($I23="معلم",0,SUMPRODUCT((WEEKDAY(ROW(INDIRECT(INT($C23)&amp;":"&amp;INT($D23))),2)&lt;5)+(WEEKDAY(ROW(INDIRECT(INT($C23)&amp;":"&amp;INT($D23))),2)=7)))</f>
        <v>24</v>
      </c>
      <c r="F23" s="32" t="n">
        <v>25</v>
      </c>
      <c r="G23" s="33" t="str">
        <f aca="false">IF(F23&gt;=100,"مكتملة",IF(F23&gt;0,"قيد التنفيذ","لم تبدأ"))</f>
        <v>قيد التنفيذ</v>
      </c>
      <c r="H23" s="33" t="str">
        <f aca="true">IF(F23&gt;=100,"مكتمل",IF(TODAY()&gt;INT(D23),"يستوجب المتابعة",IF(TODAY()&lt;INT(C23),"لم يحن موعده","ضمن مدته")))</f>
        <v>لم يحن موعده</v>
      </c>
      <c r="I23" s="33" t="s">
        <v>30</v>
      </c>
      <c r="J23" s="34" t="s">
        <v>73</v>
      </c>
      <c r="K23" s="34" t="s">
        <v>51</v>
      </c>
      <c r="L23" s="35" t="n">
        <f aca="true">IF(F23&gt;=100,"—",INT(D23)-TODAY())</f>
        <v>35</v>
      </c>
      <c r="M23" s="36" t="s">
        <v>88</v>
      </c>
    </row>
    <row r="24" customFormat="false" ht="21.75" hidden="false" customHeight="true" outlineLevel="1" collapsed="true">
      <c r="A24" s="19" t="s">
        <v>89</v>
      </c>
      <c r="B24" s="20" t="s">
        <v>90</v>
      </c>
      <c r="C24" s="21" t="n">
        <f aca="false">MIN(C25,C26)</f>
        <v>46264</v>
      </c>
      <c r="D24" s="21" t="n">
        <f aca="false">MAX(D25,D26)</f>
        <v>46295</v>
      </c>
      <c r="E24" s="22" t="n">
        <f aca="true">IF($I24="معلم",0,SUMPRODUCT((WEEKDAY(ROW(INDIRECT(INT($C24)&amp;":"&amp;INT($D24))),2)&lt;5)+(WEEKDAY(ROW(INDIRECT(INT($C24)&amp;":"&amp;INT($D24))),2)=7)))</f>
        <v>24</v>
      </c>
      <c r="F24" s="23" t="n">
        <f aca="false">ROUND(AVERAGE(F25,F26),0)</f>
        <v>15</v>
      </c>
      <c r="G24" s="24" t="str">
        <f aca="false">IF(F24&gt;=100,"مكتملة",IF(F24&gt;0,"قيد التنفيذ","لم تبدأ"))</f>
        <v>قيد التنفيذ</v>
      </c>
      <c r="H24" s="24" t="str">
        <f aca="true">IF(F24&gt;=100,"مكتمل",IF(TODAY()&gt;INT(D24),"يستوجب المتابعة",IF(TODAY()&lt;INT(C24),"لم يحن موعده","ضمن مدته")))</f>
        <v>لم يحن موعده</v>
      </c>
      <c r="I24" s="24" t="s">
        <v>30</v>
      </c>
      <c r="J24" s="25" t="s">
        <v>91</v>
      </c>
      <c r="K24" s="25" t="s">
        <v>51</v>
      </c>
      <c r="L24" s="26" t="n">
        <f aca="true">IF(F24&gt;=100,"—",INT(D24)-TODAY())</f>
        <v>35</v>
      </c>
      <c r="M24" s="27"/>
    </row>
    <row r="25" customFormat="false" ht="21.75" hidden="true" customHeight="true" outlineLevel="2" collapsed="false">
      <c r="A25" s="28" t="s">
        <v>92</v>
      </c>
      <c r="B25" s="29" t="s">
        <v>93</v>
      </c>
      <c r="C25" s="30" t="n">
        <f aca="false">$J$3-31</f>
        <v>46264</v>
      </c>
      <c r="D25" s="30" t="n">
        <f aca="false">$J$3</f>
        <v>46295</v>
      </c>
      <c r="E25" s="31" t="n">
        <f aca="true">IF($I25="معلم",0,SUMPRODUCT((WEEKDAY(ROW(INDIRECT(INT($C25)&amp;":"&amp;INT($D25))),2)&lt;5)+(WEEKDAY(ROW(INDIRECT(INT($C25)&amp;":"&amp;INT($D25))),2)=7)))</f>
        <v>24</v>
      </c>
      <c r="F25" s="32" t="n">
        <v>20</v>
      </c>
      <c r="G25" s="33" t="str">
        <f aca="false">IF(F25&gt;=100,"مكتملة",IF(F25&gt;0,"قيد التنفيذ","لم تبدأ"))</f>
        <v>قيد التنفيذ</v>
      </c>
      <c r="H25" s="33" t="str">
        <f aca="true">IF(F25&gt;=100,"مكتمل",IF(TODAY()&gt;INT(D25),"يستوجب المتابعة",IF(TODAY()&lt;INT(C25),"لم يحن موعده","ضمن مدته")))</f>
        <v>لم يحن موعده</v>
      </c>
      <c r="I25" s="33" t="s">
        <v>30</v>
      </c>
      <c r="J25" s="34" t="s">
        <v>91</v>
      </c>
      <c r="K25" s="34" t="s">
        <v>51</v>
      </c>
      <c r="L25" s="35" t="n">
        <f aca="true">IF(F25&gt;=100,"—",INT(D25)-TODAY())</f>
        <v>35</v>
      </c>
      <c r="M25" s="36" t="s">
        <v>94</v>
      </c>
    </row>
    <row r="26" customFormat="false" ht="21.75" hidden="true" customHeight="true" outlineLevel="2" collapsed="false">
      <c r="A26" s="28" t="s">
        <v>95</v>
      </c>
      <c r="B26" s="29" t="s">
        <v>96</v>
      </c>
      <c r="C26" s="30" t="n">
        <f aca="false">$J$3-24</f>
        <v>46271</v>
      </c>
      <c r="D26" s="30" t="n">
        <f aca="false">$J$3</f>
        <v>46295</v>
      </c>
      <c r="E26" s="31" t="n">
        <f aca="true">IF($I26="معلم",0,SUMPRODUCT((WEEKDAY(ROW(INDIRECT(INT($C26)&amp;":"&amp;INT($D26))),2)&lt;5)+(WEEKDAY(ROW(INDIRECT(INT($C26)&amp;":"&amp;INT($D26))),2)=7)))</f>
        <v>19</v>
      </c>
      <c r="F26" s="32" t="n">
        <v>10</v>
      </c>
      <c r="G26" s="33" t="str">
        <f aca="false">IF(F26&gt;=100,"مكتملة",IF(F26&gt;0,"قيد التنفيذ","لم تبدأ"))</f>
        <v>قيد التنفيذ</v>
      </c>
      <c r="H26" s="33" t="str">
        <f aca="true">IF(F26&gt;=100,"مكتمل",IF(TODAY()&gt;INT(D26),"يستوجب المتابعة",IF(TODAY()&lt;INT(C26),"لم يحن موعده","ضمن مدته")))</f>
        <v>لم يحن موعده</v>
      </c>
      <c r="I26" s="33" t="s">
        <v>30</v>
      </c>
      <c r="J26" s="34" t="s">
        <v>91</v>
      </c>
      <c r="K26" s="34" t="s">
        <v>51</v>
      </c>
      <c r="L26" s="35" t="n">
        <f aca="true">IF(F26&gt;=100,"—",INT(D26)-TODAY())</f>
        <v>35</v>
      </c>
      <c r="M26" s="36" t="s">
        <v>97</v>
      </c>
    </row>
    <row r="27" customFormat="false" ht="21.75" hidden="false" customHeight="true" outlineLevel="1" collapsed="true">
      <c r="A27" s="19" t="s">
        <v>98</v>
      </c>
      <c r="B27" s="20" t="s">
        <v>99</v>
      </c>
      <c r="C27" s="21" t="n">
        <f aca="false">MIN(C28,C29)</f>
        <v>46264</v>
      </c>
      <c r="D27" s="21" t="n">
        <f aca="false">MAX(D28,D29)</f>
        <v>46295</v>
      </c>
      <c r="E27" s="22" t="n">
        <f aca="true">IF($I27="معلم",0,SUMPRODUCT((WEEKDAY(ROW(INDIRECT(INT($C27)&amp;":"&amp;INT($D27))),2)&lt;5)+(WEEKDAY(ROW(INDIRECT(INT($C27)&amp;":"&amp;INT($D27))),2)=7)))</f>
        <v>24</v>
      </c>
      <c r="F27" s="23" t="n">
        <f aca="false">ROUND(AVERAGE(F28,F29),0)</f>
        <v>0</v>
      </c>
      <c r="G27" s="24" t="str">
        <f aca="false">IF(F27&gt;=100,"مكتملة",IF(F27&gt;0,"قيد التنفيذ","لم تبدأ"))</f>
        <v>لم تبدأ</v>
      </c>
      <c r="H27" s="24" t="str">
        <f aca="true">IF(F27&gt;=100,"مكتمل",IF(TODAY()&gt;INT(D27),"يستوجب المتابعة",IF(TODAY()&lt;INT(C27),"لم يحن موعده","ضمن مدته")))</f>
        <v>لم يحن موعده</v>
      </c>
      <c r="I27" s="24" t="s">
        <v>30</v>
      </c>
      <c r="J27" s="25" t="s">
        <v>35</v>
      </c>
      <c r="K27" s="25" t="s">
        <v>100</v>
      </c>
      <c r="L27" s="26" t="n">
        <f aca="true">IF(F27&gt;=100,"—",INT(D27)-TODAY())</f>
        <v>35</v>
      </c>
      <c r="M27" s="27"/>
    </row>
    <row r="28" customFormat="false" ht="21.75" hidden="true" customHeight="true" outlineLevel="2" collapsed="false">
      <c r="A28" s="28" t="s">
        <v>101</v>
      </c>
      <c r="B28" s="29" t="s">
        <v>102</v>
      </c>
      <c r="C28" s="30" t="n">
        <f aca="false">$J$3-31</f>
        <v>46264</v>
      </c>
      <c r="D28" s="30" t="n">
        <f aca="false">$J$3</f>
        <v>46295</v>
      </c>
      <c r="E28" s="31" t="n">
        <f aca="true">IF($I28="معلم",0,SUMPRODUCT((WEEKDAY(ROW(INDIRECT(INT($C28)&amp;":"&amp;INT($D28))),2)&lt;5)+(WEEKDAY(ROW(INDIRECT(INT($C28)&amp;":"&amp;INT($D28))),2)=7)))</f>
        <v>24</v>
      </c>
      <c r="F28" s="32" t="n">
        <v>0</v>
      </c>
      <c r="G28" s="33" t="str">
        <f aca="false">IF(F28&gt;=100,"مكتملة",IF(F28&gt;0,"قيد التنفيذ","لم تبدأ"))</f>
        <v>لم تبدأ</v>
      </c>
      <c r="H28" s="33" t="str">
        <f aca="true">IF(F28&gt;=100,"مكتمل",IF(TODAY()&gt;INT(D28),"يستوجب المتابعة",IF(TODAY()&lt;INT(C28),"لم يحن موعده","ضمن مدته")))</f>
        <v>لم يحن موعده</v>
      </c>
      <c r="I28" s="33" t="s">
        <v>30</v>
      </c>
      <c r="J28" s="34" t="s">
        <v>35</v>
      </c>
      <c r="K28" s="34" t="s">
        <v>103</v>
      </c>
      <c r="L28" s="35" t="n">
        <f aca="true">IF(F28&gt;=100,"—",INT(D28)-TODAY())</f>
        <v>35</v>
      </c>
      <c r="M28" s="36" t="s">
        <v>104</v>
      </c>
    </row>
    <row r="29" customFormat="false" ht="21.75" hidden="true" customHeight="true" outlineLevel="2" collapsed="false">
      <c r="A29" s="28" t="s">
        <v>105</v>
      </c>
      <c r="B29" s="29" t="s">
        <v>106</v>
      </c>
      <c r="C29" s="30" t="n">
        <f aca="false">$J$3-31</f>
        <v>46264</v>
      </c>
      <c r="D29" s="30" t="n">
        <f aca="false">$J$3</f>
        <v>46295</v>
      </c>
      <c r="E29" s="31" t="n">
        <f aca="true">IF($I29="معلم",0,SUMPRODUCT((WEEKDAY(ROW(INDIRECT(INT($C29)&amp;":"&amp;INT($D29))),2)&lt;5)+(WEEKDAY(ROW(INDIRECT(INT($C29)&amp;":"&amp;INT($D29))),2)=7)))</f>
        <v>24</v>
      </c>
      <c r="F29" s="32" t="n">
        <v>0</v>
      </c>
      <c r="G29" s="33" t="str">
        <f aca="false">IF(F29&gt;=100,"مكتملة",IF(F29&gt;0,"قيد التنفيذ","لم تبدأ"))</f>
        <v>لم تبدأ</v>
      </c>
      <c r="H29" s="33" t="str">
        <f aca="true">IF(F29&gt;=100,"مكتمل",IF(TODAY()&gt;INT(D29),"يستوجب المتابعة",IF(TODAY()&lt;INT(C29),"لم يحن موعده","ضمن مدته")))</f>
        <v>لم يحن موعده</v>
      </c>
      <c r="I29" s="33" t="s">
        <v>30</v>
      </c>
      <c r="J29" s="34" t="s">
        <v>35</v>
      </c>
      <c r="K29" s="34" t="s">
        <v>107</v>
      </c>
      <c r="L29" s="35" t="n">
        <f aca="true">IF(F29&gt;=100,"—",INT(D29)-TODAY())</f>
        <v>35</v>
      </c>
      <c r="M29" s="36" t="s">
        <v>108</v>
      </c>
    </row>
    <row r="30" customFormat="false" ht="21.75" hidden="false" customHeight="true" outlineLevel="1" collapsed="false">
      <c r="A30" s="37" t="s">
        <v>109</v>
      </c>
      <c r="B30" s="38" t="s">
        <v>110</v>
      </c>
      <c r="C30" s="39" t="n">
        <f aca="false">$J$3</f>
        <v>46295</v>
      </c>
      <c r="D30" s="39" t="n">
        <f aca="false">$J$3</f>
        <v>46295</v>
      </c>
      <c r="E30" s="40" t="n">
        <f aca="true">IF($I30="معلم",0,SUMPRODUCT((WEEKDAY(ROW(INDIRECT(INT($C30)&amp;":"&amp;INT($D30))),2)&lt;5)+(WEEKDAY(ROW(INDIRECT(INT($C30)&amp;":"&amp;INT($D30))),2)=7)))</f>
        <v>0</v>
      </c>
      <c r="F30" s="41" t="n">
        <v>0</v>
      </c>
      <c r="G30" s="42" t="str">
        <f aca="false">IF(F30&gt;=100,"مكتملة",IF(F30&gt;0,"قيد التنفيذ","لم تبدأ"))</f>
        <v>لم تبدأ</v>
      </c>
      <c r="H30" s="42" t="str">
        <f aca="true">IF(F30&gt;=100,"مكتمل",IF(TODAY()&gt;INT(D30),"يستوجب المتابعة",IF(TODAY()&lt;INT(C30),"لم يحن موعده","ضمن مدته")))</f>
        <v>لم يحن موعده</v>
      </c>
      <c r="I30" s="42" t="s">
        <v>50</v>
      </c>
      <c r="J30" s="43" t="s">
        <v>31</v>
      </c>
      <c r="K30" s="43" t="s">
        <v>51</v>
      </c>
      <c r="L30" s="44" t="n">
        <f aca="true">IF(F30&gt;=100,"—",INT(D30)-TODAY())</f>
        <v>35</v>
      </c>
      <c r="M30" s="45" t="s">
        <v>111</v>
      </c>
    </row>
    <row r="31" customFormat="false" ht="25.5" hidden="false" customHeight="true" outlineLevel="0" collapsed="false">
      <c r="A31" s="11" t="s">
        <v>112</v>
      </c>
      <c r="B31" s="12" t="s">
        <v>113</v>
      </c>
      <c r="C31" s="13" t="n">
        <f aca="false">MIN(C32,C35,C36,C46)</f>
        <v>46271</v>
      </c>
      <c r="D31" s="13" t="n">
        <f aca="false">MAX(D32,D35,D36,D46)</f>
        <v>46371</v>
      </c>
      <c r="E31" s="14" t="n">
        <f aca="true">IF($I31="معلم",0,SUMPRODUCT((WEEKDAY(ROW(INDIRECT(INT($C31)&amp;":"&amp;INT($D31))),2)&lt;5)+(WEEKDAY(ROW(INDIRECT(INT($C31)&amp;":"&amp;INT($D31))),2)=7)))</f>
        <v>73</v>
      </c>
      <c r="F31" s="15" t="n">
        <f aca="false">ROUND(AVERAGE(F32,F35,F36,F46),0)</f>
        <v>0</v>
      </c>
      <c r="G31" s="16" t="str">
        <f aca="false">IF(F31&gt;=100,"مكتملة",IF(F31&gt;0,"قيد التنفيذ","لم تبدأ"))</f>
        <v>لم تبدأ</v>
      </c>
      <c r="H31" s="16" t="str">
        <f aca="true">IF(F31&gt;=100,"مكتمل",IF(TODAY()&gt;INT(D31),"يستوجب المتابعة",IF(TODAY()&lt;INT(C31),"لم يحن موعده","ضمن مدته")))</f>
        <v>لم يحن موعده</v>
      </c>
      <c r="I31" s="16" t="s">
        <v>30</v>
      </c>
      <c r="J31" s="17" t="s">
        <v>114</v>
      </c>
      <c r="K31" s="17" t="s">
        <v>115</v>
      </c>
      <c r="L31" s="18" t="n">
        <f aca="true">IF(F31&gt;=100,"—",INT(D31)-TODAY())</f>
        <v>111</v>
      </c>
      <c r="M31" s="12"/>
    </row>
    <row r="32" customFormat="false" ht="21.75" hidden="false" customHeight="true" outlineLevel="1" collapsed="true">
      <c r="A32" s="19" t="s">
        <v>116</v>
      </c>
      <c r="B32" s="20" t="s">
        <v>117</v>
      </c>
      <c r="C32" s="21" t="n">
        <f aca="false">MIN(C33,C34)</f>
        <v>46271</v>
      </c>
      <c r="D32" s="21" t="n">
        <f aca="false">MAX(D33,D34)</f>
        <v>46306</v>
      </c>
      <c r="E32" s="22" t="n">
        <f aca="true">IF($I32="معلم",0,SUMPRODUCT((WEEKDAY(ROW(INDIRECT(INT($C32)&amp;":"&amp;INT($D32))),2)&lt;5)+(WEEKDAY(ROW(INDIRECT(INT($C32)&amp;":"&amp;INT($D32))),2)=7)))</f>
        <v>26</v>
      </c>
      <c r="F32" s="23" t="n">
        <f aca="false">ROUND(AVERAGE(F33,F34),0)</f>
        <v>0</v>
      </c>
      <c r="G32" s="24" t="str">
        <f aca="false">IF(F32&gt;=100,"مكتملة",IF(F32&gt;0,"قيد التنفيذ","لم تبدأ"))</f>
        <v>لم تبدأ</v>
      </c>
      <c r="H32" s="24" t="str">
        <f aca="true">IF(F32&gt;=100,"مكتمل",IF(TODAY()&gt;INT(D32),"يستوجب المتابعة",IF(TODAY()&lt;INT(C32),"لم يحن موعده","ضمن مدته")))</f>
        <v>لم يحن موعده</v>
      </c>
      <c r="I32" s="24" t="s">
        <v>30</v>
      </c>
      <c r="J32" s="25" t="s">
        <v>114</v>
      </c>
      <c r="K32" s="25" t="s">
        <v>51</v>
      </c>
      <c r="L32" s="26" t="n">
        <f aca="true">IF(F32&gt;=100,"—",INT(D32)-TODAY())</f>
        <v>46</v>
      </c>
      <c r="M32" s="27"/>
    </row>
    <row r="33" customFormat="false" ht="21.75" hidden="true" customHeight="true" outlineLevel="2" collapsed="false">
      <c r="A33" s="28" t="s">
        <v>118</v>
      </c>
      <c r="B33" s="29" t="s">
        <v>119</v>
      </c>
      <c r="C33" s="30" t="n">
        <f aca="false">$I$3-14</f>
        <v>46296</v>
      </c>
      <c r="D33" s="30" t="n">
        <f aca="false">$I$3-4</f>
        <v>46306</v>
      </c>
      <c r="E33" s="31" t="n">
        <f aca="true">IF($I33="معلم",0,SUMPRODUCT((WEEKDAY(ROW(INDIRECT(INT($C33)&amp;":"&amp;INT($D33))),2)&lt;5)+(WEEKDAY(ROW(INDIRECT(INT($C33)&amp;":"&amp;INT($D33))),2)=7)))</f>
        <v>7</v>
      </c>
      <c r="F33" s="32" t="n">
        <v>0</v>
      </c>
      <c r="G33" s="33" t="str">
        <f aca="false">IF(F33&gt;=100,"مكتملة",IF(F33&gt;0,"قيد التنفيذ","لم تبدأ"))</f>
        <v>لم تبدأ</v>
      </c>
      <c r="H33" s="33" t="str">
        <f aca="true">IF(F33&gt;=100,"مكتمل",IF(TODAY()&gt;INT(D33),"يستوجب المتابعة",IF(TODAY()&lt;INT(C33),"لم يحن موعده","ضمن مدته")))</f>
        <v>لم يحن موعده</v>
      </c>
      <c r="I33" s="33" t="s">
        <v>30</v>
      </c>
      <c r="J33" s="34" t="s">
        <v>35</v>
      </c>
      <c r="K33" s="34" t="s">
        <v>51</v>
      </c>
      <c r="L33" s="35" t="n">
        <f aca="true">IF(F33&gt;=100,"—",INT(D33)-TODAY())</f>
        <v>46</v>
      </c>
      <c r="M33" s="36" t="s">
        <v>120</v>
      </c>
    </row>
    <row r="34" customFormat="false" ht="21.75" hidden="true" customHeight="true" outlineLevel="2" collapsed="false">
      <c r="A34" s="28" t="s">
        <v>121</v>
      </c>
      <c r="B34" s="29" t="s">
        <v>122</v>
      </c>
      <c r="C34" s="30" t="n">
        <f aca="false">$I$3-39</f>
        <v>46271</v>
      </c>
      <c r="D34" s="30" t="n">
        <f aca="false">$I$3-4</f>
        <v>46306</v>
      </c>
      <c r="E34" s="31" t="n">
        <f aca="true">IF($I34="معلم",0,SUMPRODUCT((WEEKDAY(ROW(INDIRECT(INT($C34)&amp;":"&amp;INT($D34))),2)&lt;5)+(WEEKDAY(ROW(INDIRECT(INT($C34)&amp;":"&amp;INT($D34))),2)=7)))</f>
        <v>26</v>
      </c>
      <c r="F34" s="32" t="n">
        <v>0</v>
      </c>
      <c r="G34" s="33" t="str">
        <f aca="false">IF(F34&gt;=100,"مكتملة",IF(F34&gt;0,"قيد التنفيذ","لم تبدأ"))</f>
        <v>لم تبدأ</v>
      </c>
      <c r="H34" s="33" t="str">
        <f aca="true">IF(F34&gt;=100,"مكتمل",IF(TODAY()&gt;INT(D34),"يستوجب المتابعة",IF(TODAY()&lt;INT(C34),"لم يحن موعده","ضمن مدته")))</f>
        <v>لم يحن موعده</v>
      </c>
      <c r="I34" s="33" t="s">
        <v>30</v>
      </c>
      <c r="J34" s="34" t="s">
        <v>114</v>
      </c>
      <c r="K34" s="34" t="s">
        <v>115</v>
      </c>
      <c r="L34" s="35" t="n">
        <f aca="true">IF(F34&gt;=100,"—",INT(D34)-TODAY())</f>
        <v>46</v>
      </c>
      <c r="M34" s="36" t="s">
        <v>120</v>
      </c>
    </row>
    <row r="35" customFormat="false" ht="21.75" hidden="false" customHeight="true" outlineLevel="1" collapsed="false">
      <c r="A35" s="37" t="s">
        <v>123</v>
      </c>
      <c r="B35" s="38" t="s">
        <v>124</v>
      </c>
      <c r="C35" s="39" t="n">
        <f aca="false">$I$3</f>
        <v>46310</v>
      </c>
      <c r="D35" s="39" t="n">
        <f aca="false">$I$3</f>
        <v>46310</v>
      </c>
      <c r="E35" s="40" t="n">
        <f aca="true">IF($I35="معلم",0,SUMPRODUCT((WEEKDAY(ROW(INDIRECT(INT($C35)&amp;":"&amp;INT($D35))),2)&lt;5)+(WEEKDAY(ROW(INDIRECT(INT($C35)&amp;":"&amp;INT($D35))),2)=7)))</f>
        <v>0</v>
      </c>
      <c r="F35" s="41" t="n">
        <v>0</v>
      </c>
      <c r="G35" s="42" t="str">
        <f aca="false">IF(F35&gt;=100,"مكتملة",IF(F35&gt;0,"قيد التنفيذ","لم تبدأ"))</f>
        <v>لم تبدأ</v>
      </c>
      <c r="H35" s="42" t="str">
        <f aca="true">IF(F35&gt;=100,"مكتمل",IF(TODAY()&gt;INT(D35),"يستوجب المتابعة",IF(TODAY()&lt;INT(C35),"لم يحن موعده","ضمن مدته")))</f>
        <v>لم يحن موعده</v>
      </c>
      <c r="I35" s="42" t="s">
        <v>50</v>
      </c>
      <c r="J35" s="43" t="s">
        <v>31</v>
      </c>
      <c r="K35" s="43" t="s">
        <v>51</v>
      </c>
      <c r="L35" s="44" t="n">
        <f aca="true">IF(F35&gt;=100,"—",INT(D35)-TODAY())</f>
        <v>50</v>
      </c>
      <c r="M35" s="45" t="s">
        <v>125</v>
      </c>
    </row>
    <row r="36" customFormat="false" ht="21.75" hidden="false" customHeight="true" outlineLevel="1" collapsed="true">
      <c r="A36" s="19" t="s">
        <v>126</v>
      </c>
      <c r="B36" s="20" t="s">
        <v>127</v>
      </c>
      <c r="C36" s="21" t="n">
        <f aca="false">MIN(C37,C42)</f>
        <v>46313</v>
      </c>
      <c r="D36" s="21" t="n">
        <f aca="false">MAX(D37,D42)</f>
        <v>46371</v>
      </c>
      <c r="E36" s="22" t="n">
        <f aca="true">IF($I36="معلم",0,SUMPRODUCT((WEEKDAY(ROW(INDIRECT(INT($C36)&amp;":"&amp;INT($D36))),2)&lt;5)+(WEEKDAY(ROW(INDIRECT(INT($C36)&amp;":"&amp;INT($D36))),2)=7)))</f>
        <v>43</v>
      </c>
      <c r="F36" s="23" t="n">
        <f aca="false">ROUND(AVERAGE(F37,F42),0)</f>
        <v>0</v>
      </c>
      <c r="G36" s="24" t="str">
        <f aca="false">IF(F36&gt;=100,"مكتملة",IF(F36&gt;0,"قيد التنفيذ","لم تبدأ"))</f>
        <v>لم تبدأ</v>
      </c>
      <c r="H36" s="24" t="str">
        <f aca="true">IF(F36&gt;=100,"مكتمل",IF(TODAY()&gt;INT(D36),"يستوجب المتابعة",IF(TODAY()&lt;INT(C36),"لم يحن موعده","ضمن مدته")))</f>
        <v>لم يحن موعده</v>
      </c>
      <c r="I36" s="24" t="s">
        <v>30</v>
      </c>
      <c r="J36" s="25" t="s">
        <v>114</v>
      </c>
      <c r="K36" s="25" t="s">
        <v>128</v>
      </c>
      <c r="L36" s="26" t="n">
        <f aca="true">IF(F36&gt;=100,"—",INT(D36)-TODAY())</f>
        <v>111</v>
      </c>
      <c r="M36" s="27"/>
    </row>
    <row r="37" customFormat="false" ht="21.75" hidden="true" customHeight="true" outlineLevel="2" collapsed="true">
      <c r="A37" s="19" t="s">
        <v>129</v>
      </c>
      <c r="B37" s="46" t="s">
        <v>130</v>
      </c>
      <c r="C37" s="21" t="n">
        <f aca="false">MIN(C38,C39,C40,C41)</f>
        <v>46313</v>
      </c>
      <c r="D37" s="21" t="n">
        <f aca="false">MAX(D38,D39,D40,D41)</f>
        <v>46369</v>
      </c>
      <c r="E37" s="22" t="n">
        <f aca="true">IF($I37="معلم",0,SUMPRODUCT((WEEKDAY(ROW(INDIRECT(INT($C37)&amp;":"&amp;INT($D37))),2)&lt;5)+(WEEKDAY(ROW(INDIRECT(INT($C37)&amp;":"&amp;INT($D37))),2)=7)))</f>
        <v>41</v>
      </c>
      <c r="F37" s="23" t="n">
        <f aca="false">ROUND(AVERAGE(F38,F39,F40,F41),0)</f>
        <v>0</v>
      </c>
      <c r="G37" s="24" t="str">
        <f aca="false">IF(F37&gt;=100,"مكتملة",IF(F37&gt;0,"قيد التنفيذ","لم تبدأ"))</f>
        <v>لم تبدأ</v>
      </c>
      <c r="H37" s="24" t="str">
        <f aca="true">IF(F37&gt;=100,"مكتمل",IF(TODAY()&gt;INT(D37),"يستوجب المتابعة",IF(TODAY()&lt;INT(C37),"لم يحن موعده","ضمن مدته")))</f>
        <v>لم يحن موعده</v>
      </c>
      <c r="I37" s="24" t="s">
        <v>30</v>
      </c>
      <c r="J37" s="25" t="s">
        <v>114</v>
      </c>
      <c r="K37" s="25" t="s">
        <v>128</v>
      </c>
      <c r="L37" s="26" t="n">
        <f aca="true">IF(F37&gt;=100,"—",INT(D37)-TODAY())</f>
        <v>109</v>
      </c>
      <c r="M37" s="47" t="s">
        <v>131</v>
      </c>
    </row>
    <row r="38" customFormat="false" ht="21.75" hidden="true" customHeight="true" outlineLevel="3" collapsed="false">
      <c r="A38" s="28" t="s">
        <v>132</v>
      </c>
      <c r="B38" s="48" t="s">
        <v>133</v>
      </c>
      <c r="C38" s="30" t="n">
        <f aca="false">$I$3+3</f>
        <v>46313</v>
      </c>
      <c r="D38" s="30" t="n">
        <f aca="false">$H$3+5</f>
        <v>46346</v>
      </c>
      <c r="E38" s="31" t="n">
        <f aca="true">IF($I38="معلم",0,SUMPRODUCT((WEEKDAY(ROW(INDIRECT(INT($C38)&amp;":"&amp;INT($D38))),2)&lt;5)+(WEEKDAY(ROW(INDIRECT(INT($C38)&amp;":"&amp;INT($D38))),2)=7)))</f>
        <v>25</v>
      </c>
      <c r="F38" s="32" t="n">
        <v>0</v>
      </c>
      <c r="G38" s="33" t="str">
        <f aca="false">IF(F38&gt;=100,"مكتملة",IF(F38&gt;0,"قيد التنفيذ","لم تبدأ"))</f>
        <v>لم تبدأ</v>
      </c>
      <c r="H38" s="33" t="str">
        <f aca="true">IF(F38&gt;=100,"مكتمل",IF(TODAY()&gt;INT(D38),"يستوجب المتابعة",IF(TODAY()&lt;INT(C38),"لم يحن موعده","ضمن مدته")))</f>
        <v>لم يحن موعده</v>
      </c>
      <c r="I38" s="33" t="s">
        <v>30</v>
      </c>
      <c r="J38" s="34" t="s">
        <v>114</v>
      </c>
      <c r="K38" s="34" t="s">
        <v>128</v>
      </c>
      <c r="L38" s="35" t="n">
        <f aca="true">IF(F38&gt;=100,"—",INT(D38)-TODAY())</f>
        <v>86</v>
      </c>
      <c r="M38" s="36"/>
    </row>
    <row r="39" customFormat="false" ht="21.75" hidden="true" customHeight="true" outlineLevel="3" collapsed="false">
      <c r="A39" s="28" t="s">
        <v>134</v>
      </c>
      <c r="B39" s="48" t="s">
        <v>135</v>
      </c>
      <c r="C39" s="30" t="n">
        <f aca="false">$H$3+6</f>
        <v>46347</v>
      </c>
      <c r="D39" s="30" t="n">
        <f aca="false">$G$3-9</f>
        <v>46362</v>
      </c>
      <c r="E39" s="31" t="n">
        <f aca="true">IF($I39="معلم",0,SUMPRODUCT((WEEKDAY(ROW(INDIRECT(INT($C39)&amp;":"&amp;INT($D39))),2)&lt;5)+(WEEKDAY(ROW(INDIRECT(INT($C39)&amp;":"&amp;INT($D39))),2)=7)))</f>
        <v>11</v>
      </c>
      <c r="F39" s="32" t="n">
        <v>0</v>
      </c>
      <c r="G39" s="33" t="str">
        <f aca="false">IF(F39&gt;=100,"مكتملة",IF(F39&gt;0,"قيد التنفيذ","لم تبدأ"))</f>
        <v>لم تبدأ</v>
      </c>
      <c r="H39" s="33" t="str">
        <f aca="true">IF(F39&gt;=100,"مكتمل",IF(TODAY()&gt;INT(D39),"يستوجب المتابعة",IF(TODAY()&lt;INT(C39),"لم يحن موعده","ضمن مدته")))</f>
        <v>لم يحن موعده</v>
      </c>
      <c r="I39" s="33" t="s">
        <v>30</v>
      </c>
      <c r="J39" s="34" t="s">
        <v>114</v>
      </c>
      <c r="K39" s="34" t="s">
        <v>128</v>
      </c>
      <c r="L39" s="35" t="n">
        <f aca="true">IF(F39&gt;=100,"—",INT(D39)-TODAY())</f>
        <v>102</v>
      </c>
      <c r="M39" s="36"/>
    </row>
    <row r="40" customFormat="false" ht="21.75" hidden="true" customHeight="true" outlineLevel="3" collapsed="false">
      <c r="A40" s="28" t="s">
        <v>136</v>
      </c>
      <c r="B40" s="48" t="s">
        <v>137</v>
      </c>
      <c r="C40" s="30" t="n">
        <f aca="false">$G$3-8</f>
        <v>46363</v>
      </c>
      <c r="D40" s="30" t="n">
        <f aca="false">$G$3-4</f>
        <v>46367</v>
      </c>
      <c r="E40" s="31" t="n">
        <f aca="true">IF($I40="معلم",0,SUMPRODUCT((WEEKDAY(ROW(INDIRECT(INT($C40)&amp;":"&amp;INT($D40))),2)&lt;5)+(WEEKDAY(ROW(INDIRECT(INT($C40)&amp;":"&amp;INT($D40))),2)=7)))</f>
        <v>4</v>
      </c>
      <c r="F40" s="32" t="n">
        <v>0</v>
      </c>
      <c r="G40" s="33" t="str">
        <f aca="false">IF(F40&gt;=100,"مكتملة",IF(F40&gt;0,"قيد التنفيذ","لم تبدأ"))</f>
        <v>لم تبدأ</v>
      </c>
      <c r="H40" s="33" t="str">
        <f aca="true">IF(F40&gt;=100,"مكتمل",IF(TODAY()&gt;INT(D40),"يستوجب المتابعة",IF(TODAY()&lt;INT(C40),"لم يحن موعده","ضمن مدته")))</f>
        <v>لم يحن موعده</v>
      </c>
      <c r="I40" s="33" t="s">
        <v>30</v>
      </c>
      <c r="J40" s="34" t="s">
        <v>114</v>
      </c>
      <c r="K40" s="34" t="s">
        <v>128</v>
      </c>
      <c r="L40" s="35" t="n">
        <f aca="true">IF(F40&gt;=100,"—",INT(D40)-TODAY())</f>
        <v>107</v>
      </c>
      <c r="M40" s="36"/>
    </row>
    <row r="41" customFormat="false" ht="21.75" hidden="true" customHeight="true" outlineLevel="3" collapsed="false">
      <c r="A41" s="28" t="s">
        <v>138</v>
      </c>
      <c r="B41" s="48" t="s">
        <v>139</v>
      </c>
      <c r="C41" s="30" t="n">
        <f aca="false">$G$3-3</f>
        <v>46368</v>
      </c>
      <c r="D41" s="30" t="n">
        <f aca="false">$G$3-2</f>
        <v>46369</v>
      </c>
      <c r="E41" s="31" t="n">
        <f aca="true">IF($I41="معلم",0,SUMPRODUCT((WEEKDAY(ROW(INDIRECT(INT($C41)&amp;":"&amp;INT($D41))),2)&lt;5)+(WEEKDAY(ROW(INDIRECT(INT($C41)&amp;":"&amp;INT($D41))),2)=7)))</f>
        <v>1</v>
      </c>
      <c r="F41" s="32" t="n">
        <v>0</v>
      </c>
      <c r="G41" s="33" t="str">
        <f aca="false">IF(F41&gt;=100,"مكتملة",IF(F41&gt;0,"قيد التنفيذ","لم تبدأ"))</f>
        <v>لم تبدأ</v>
      </c>
      <c r="H41" s="33" t="str">
        <f aca="true">IF(F41&gt;=100,"مكتمل",IF(TODAY()&gt;INT(D41),"يستوجب المتابعة",IF(TODAY()&lt;INT(C41),"لم يحن موعده","ضمن مدته")))</f>
        <v>لم يحن موعده</v>
      </c>
      <c r="I41" s="33" t="s">
        <v>30</v>
      </c>
      <c r="J41" s="34" t="s">
        <v>114</v>
      </c>
      <c r="K41" s="34" t="s">
        <v>32</v>
      </c>
      <c r="L41" s="35" t="n">
        <f aca="true">IF(F41&gt;=100,"—",INT(D41)-TODAY())</f>
        <v>109</v>
      </c>
      <c r="M41" s="36"/>
    </row>
    <row r="42" customFormat="false" ht="21.75" hidden="true" customHeight="true" outlineLevel="2" collapsed="true">
      <c r="A42" s="19" t="s">
        <v>140</v>
      </c>
      <c r="B42" s="46" t="s">
        <v>141</v>
      </c>
      <c r="C42" s="21" t="n">
        <f aca="false">MIN(C43,C44,C45)</f>
        <v>46362</v>
      </c>
      <c r="D42" s="21" t="n">
        <f aca="false">MAX(D43,D44,D45)</f>
        <v>46371</v>
      </c>
      <c r="E42" s="22" t="n">
        <f aca="true">IF($I42="معلم",0,SUMPRODUCT((WEEKDAY(ROW(INDIRECT(INT($C42)&amp;":"&amp;INT($D42))),2)&lt;5)+(WEEKDAY(ROW(INDIRECT(INT($C42)&amp;":"&amp;INT($D42))),2)=7)))</f>
        <v>8</v>
      </c>
      <c r="F42" s="23" t="n">
        <f aca="false">ROUND(AVERAGE(F43,F44,F45),0)</f>
        <v>0</v>
      </c>
      <c r="G42" s="24" t="str">
        <f aca="false">IF(F42&gt;=100,"مكتملة",IF(F42&gt;0,"قيد التنفيذ","لم تبدأ"))</f>
        <v>لم تبدأ</v>
      </c>
      <c r="H42" s="24" t="str">
        <f aca="true">IF(F42&gt;=100,"مكتمل",IF(TODAY()&gt;INT(D42),"يستوجب المتابعة",IF(TODAY()&lt;INT(C42),"لم يحن موعده","ضمن مدته")))</f>
        <v>لم يحن موعده</v>
      </c>
      <c r="I42" s="24" t="s">
        <v>30</v>
      </c>
      <c r="J42" s="25" t="s">
        <v>114</v>
      </c>
      <c r="K42" s="25" t="s">
        <v>32</v>
      </c>
      <c r="L42" s="26" t="n">
        <f aca="true">IF(F42&gt;=100,"—",INT(D42)-TODAY())</f>
        <v>111</v>
      </c>
      <c r="M42" s="27"/>
    </row>
    <row r="43" customFormat="false" ht="21.75" hidden="true" customHeight="true" outlineLevel="3" collapsed="false">
      <c r="A43" s="28" t="s">
        <v>142</v>
      </c>
      <c r="B43" s="48" t="s">
        <v>143</v>
      </c>
      <c r="C43" s="30" t="n">
        <f aca="false">$G$3-9</f>
        <v>46362</v>
      </c>
      <c r="D43" s="30" t="n">
        <f aca="false">$G$3-5</f>
        <v>46366</v>
      </c>
      <c r="E43" s="31" t="n">
        <f aca="true">IF($I43="معلم",0,SUMPRODUCT((WEEKDAY(ROW(INDIRECT(INT($C43)&amp;":"&amp;INT($D43))),2)&lt;5)+(WEEKDAY(ROW(INDIRECT(INT($C43)&amp;":"&amp;INT($D43))),2)=7)))</f>
        <v>5</v>
      </c>
      <c r="F43" s="32" t="n">
        <v>0</v>
      </c>
      <c r="G43" s="33" t="str">
        <f aca="false">IF(F43&gt;=100,"مكتملة",IF(F43&gt;0,"قيد التنفيذ","لم تبدأ"))</f>
        <v>لم تبدأ</v>
      </c>
      <c r="H43" s="33" t="str">
        <f aca="true">IF(F43&gt;=100,"مكتمل",IF(TODAY()&gt;INT(D43),"يستوجب المتابعة",IF(TODAY()&lt;INT(C43),"لم يحن موعده","ضمن مدته")))</f>
        <v>لم يحن موعده</v>
      </c>
      <c r="I43" s="33" t="s">
        <v>30</v>
      </c>
      <c r="J43" s="34" t="s">
        <v>144</v>
      </c>
      <c r="K43" s="34" t="s">
        <v>32</v>
      </c>
      <c r="L43" s="35" t="n">
        <f aca="true">IF(F43&gt;=100,"—",INT(D43)-TODAY())</f>
        <v>106</v>
      </c>
      <c r="M43" s="36"/>
    </row>
    <row r="44" customFormat="false" ht="21.75" hidden="true" customHeight="true" outlineLevel="3" collapsed="false">
      <c r="A44" s="28" t="s">
        <v>145</v>
      </c>
      <c r="B44" s="48" t="s">
        <v>146</v>
      </c>
      <c r="C44" s="30" t="n">
        <f aca="false">$G$3-6</f>
        <v>46365</v>
      </c>
      <c r="D44" s="30" t="n">
        <f aca="false">$G$3-2</f>
        <v>46369</v>
      </c>
      <c r="E44" s="31" t="n">
        <f aca="true">IF($I44="معلم",0,SUMPRODUCT((WEEKDAY(ROW(INDIRECT(INT($C44)&amp;":"&amp;INT($D44))),2)&lt;5)+(WEEKDAY(ROW(INDIRECT(INT($C44)&amp;":"&amp;INT($D44))),2)=7)))</f>
        <v>3</v>
      </c>
      <c r="F44" s="32" t="n">
        <v>0</v>
      </c>
      <c r="G44" s="33" t="str">
        <f aca="false">IF(F44&gt;=100,"مكتملة",IF(F44&gt;0,"قيد التنفيذ","لم تبدأ"))</f>
        <v>لم تبدأ</v>
      </c>
      <c r="H44" s="33" t="str">
        <f aca="true">IF(F44&gt;=100,"مكتمل",IF(TODAY()&gt;INT(D44),"يستوجب المتابعة",IF(TODAY()&lt;INT(C44),"لم يحن موعده","ضمن مدته")))</f>
        <v>لم يحن موعده</v>
      </c>
      <c r="I44" s="33" t="s">
        <v>30</v>
      </c>
      <c r="J44" s="34" t="s">
        <v>91</v>
      </c>
      <c r="K44" s="34" t="s">
        <v>32</v>
      </c>
      <c r="L44" s="35" t="n">
        <f aca="true">IF(F44&gt;=100,"—",INT(D44)-TODAY())</f>
        <v>109</v>
      </c>
      <c r="M44" s="36" t="s">
        <v>147</v>
      </c>
    </row>
    <row r="45" customFormat="false" ht="21.75" hidden="true" customHeight="true" outlineLevel="3" collapsed="false">
      <c r="A45" s="28" t="s">
        <v>148</v>
      </c>
      <c r="B45" s="48" t="s">
        <v>149</v>
      </c>
      <c r="C45" s="30" t="n">
        <f aca="false">$G$3-4</f>
        <v>46367</v>
      </c>
      <c r="D45" s="30" t="n">
        <f aca="false">$G$3</f>
        <v>46371</v>
      </c>
      <c r="E45" s="31" t="n">
        <f aca="true">IF($I45="معلم",0,SUMPRODUCT((WEEKDAY(ROW(INDIRECT(INT($C45)&amp;":"&amp;INT($D45))),2)&lt;5)+(WEEKDAY(ROW(INDIRECT(INT($C45)&amp;":"&amp;INT($D45))),2)=7)))</f>
        <v>3</v>
      </c>
      <c r="F45" s="32" t="n">
        <v>0</v>
      </c>
      <c r="G45" s="33" t="str">
        <f aca="false">IF(F45&gt;=100,"مكتملة",IF(F45&gt;0,"قيد التنفيذ","لم تبدأ"))</f>
        <v>لم تبدأ</v>
      </c>
      <c r="H45" s="33" t="str">
        <f aca="true">IF(F45&gt;=100,"مكتمل",IF(TODAY()&gt;INT(D45),"يستوجب المتابعة",IF(TODAY()&lt;INT(C45),"لم يحن موعده","ضمن مدته")))</f>
        <v>لم يحن موعده</v>
      </c>
      <c r="I45" s="33" t="s">
        <v>30</v>
      </c>
      <c r="J45" s="34" t="s">
        <v>57</v>
      </c>
      <c r="K45" s="34" t="s">
        <v>32</v>
      </c>
      <c r="L45" s="35" t="n">
        <f aca="true">IF(F45&gt;=100,"—",INT(D45)-TODAY())</f>
        <v>111</v>
      </c>
      <c r="M45" s="36"/>
    </row>
    <row r="46" customFormat="false" ht="21.75" hidden="false" customHeight="true" outlineLevel="1" collapsed="false">
      <c r="A46" s="37" t="s">
        <v>150</v>
      </c>
      <c r="B46" s="38" t="s">
        <v>151</v>
      </c>
      <c r="C46" s="39" t="n">
        <f aca="false">$G$3</f>
        <v>46371</v>
      </c>
      <c r="D46" s="39" t="n">
        <f aca="false">$G$3</f>
        <v>46371</v>
      </c>
      <c r="E46" s="40" t="n">
        <f aca="true">IF($I46="معلم",0,SUMPRODUCT((WEEKDAY(ROW(INDIRECT(INT($C46)&amp;":"&amp;INT($D46))),2)&lt;5)+(WEEKDAY(ROW(INDIRECT(INT($C46)&amp;":"&amp;INT($D46))),2)=7)))</f>
        <v>0</v>
      </c>
      <c r="F46" s="41" t="n">
        <v>0</v>
      </c>
      <c r="G46" s="42" t="str">
        <f aca="false">IF(F46&gt;=100,"مكتملة",IF(F46&gt;0,"قيد التنفيذ","لم تبدأ"))</f>
        <v>لم تبدأ</v>
      </c>
      <c r="H46" s="42" t="str">
        <f aca="true">IF(F46&gt;=100,"مكتمل",IF(TODAY()&gt;INT(D46),"يستوجب المتابعة",IF(TODAY()&lt;INT(C46),"لم يحن موعده","ضمن مدته")))</f>
        <v>لم يحن موعده</v>
      </c>
      <c r="I46" s="42" t="s">
        <v>50</v>
      </c>
      <c r="J46" s="43" t="s">
        <v>114</v>
      </c>
      <c r="K46" s="43" t="s">
        <v>32</v>
      </c>
      <c r="L46" s="44" t="n">
        <f aca="true">IF(F46&gt;=100,"—",INT(D46)-TODAY())</f>
        <v>111</v>
      </c>
      <c r="M46" s="45" t="s">
        <v>152</v>
      </c>
    </row>
    <row r="47" customFormat="false" ht="25.5" hidden="false" customHeight="true" outlineLevel="0" collapsed="false">
      <c r="A47" s="11" t="s">
        <v>153</v>
      </c>
      <c r="B47" s="12" t="s">
        <v>154</v>
      </c>
      <c r="C47" s="13" t="n">
        <f aca="false">MIN(C48,C49,C54)</f>
        <v>46326</v>
      </c>
      <c r="D47" s="13" t="n">
        <f aca="false">MAX(D48,D49,D54)</f>
        <v>46446</v>
      </c>
      <c r="E47" s="14" t="n">
        <f aca="true">IF($I47="معلم",0,SUMPRODUCT((WEEKDAY(ROW(INDIRECT(INT($C47)&amp;":"&amp;INT($D47))),2)&lt;5)+(WEEKDAY(ROW(INDIRECT(INT($C47)&amp;":"&amp;INT($D47))),2)=7)))</f>
        <v>86</v>
      </c>
      <c r="F47" s="15" t="n">
        <f aca="false">ROUND(AVERAGE(F48,F49,F54),0)</f>
        <v>0</v>
      </c>
      <c r="G47" s="16" t="str">
        <f aca="false">IF(F47&gt;=100,"مكتملة",IF(F47&gt;0,"قيد التنفيذ","لم تبدأ"))</f>
        <v>لم تبدأ</v>
      </c>
      <c r="H47" s="16" t="str">
        <f aca="true">IF(F47&gt;=100,"مكتمل",IF(TODAY()&gt;INT(D47),"يستوجب المتابعة",IF(TODAY()&lt;INT(C47),"لم يحن موعده","ضمن مدته")))</f>
        <v>لم يحن موعده</v>
      </c>
      <c r="I47" s="16" t="s">
        <v>30</v>
      </c>
      <c r="J47" s="17" t="s">
        <v>91</v>
      </c>
      <c r="K47" s="17" t="s">
        <v>155</v>
      </c>
      <c r="L47" s="18" t="n">
        <f aca="true">IF(F47&gt;=100,"—",INT(D47)-TODAY())</f>
        <v>186</v>
      </c>
      <c r="M47" s="12"/>
    </row>
    <row r="48" customFormat="false" ht="21.75" hidden="false" customHeight="true" outlineLevel="1" collapsed="false">
      <c r="A48" s="37" t="s">
        <v>156</v>
      </c>
      <c r="B48" s="38" t="s">
        <v>157</v>
      </c>
      <c r="C48" s="39" t="n">
        <f aca="false">$I$3+16</f>
        <v>46326</v>
      </c>
      <c r="D48" s="39" t="n">
        <f aca="false">$I$3+16</f>
        <v>46326</v>
      </c>
      <c r="E48" s="40" t="n">
        <f aca="true">IF($I48="معلم",0,SUMPRODUCT((WEEKDAY(ROW(INDIRECT(INT($C48)&amp;":"&amp;INT($D48))),2)&lt;5)+(WEEKDAY(ROW(INDIRECT(INT($C48)&amp;":"&amp;INT($D48))),2)=7)))</f>
        <v>0</v>
      </c>
      <c r="F48" s="41" t="n">
        <v>0</v>
      </c>
      <c r="G48" s="42" t="str">
        <f aca="false">IF(F48&gt;=100,"مكتملة",IF(F48&gt;0,"قيد التنفيذ","لم تبدأ"))</f>
        <v>لم تبدأ</v>
      </c>
      <c r="H48" s="42" t="str">
        <f aca="true">IF(F48&gt;=100,"مكتمل",IF(TODAY()&gt;INT(D48),"يستوجب المتابعة",IF(TODAY()&lt;INT(C48),"لم يحن موعده","ضمن مدته")))</f>
        <v>لم يحن موعده</v>
      </c>
      <c r="I48" s="42" t="s">
        <v>50</v>
      </c>
      <c r="J48" s="43" t="s">
        <v>31</v>
      </c>
      <c r="K48" s="43" t="s">
        <v>155</v>
      </c>
      <c r="L48" s="44" t="n">
        <f aca="true">IF(F48&gt;=100,"—",INT(D48)-TODAY())</f>
        <v>66</v>
      </c>
      <c r="M48" s="45" t="s">
        <v>158</v>
      </c>
    </row>
    <row r="49" customFormat="false" ht="21.75" hidden="false" customHeight="true" outlineLevel="1" collapsed="true">
      <c r="A49" s="19" t="s">
        <v>159</v>
      </c>
      <c r="B49" s="20" t="s">
        <v>160</v>
      </c>
      <c r="C49" s="21" t="n">
        <f aca="false">MIN(C50,C51,C52,C53)</f>
        <v>46327</v>
      </c>
      <c r="D49" s="21" t="n">
        <f aca="false">MAX(D50,D51,D52,D53)</f>
        <v>46446</v>
      </c>
      <c r="E49" s="22" t="n">
        <f aca="true">IF($I49="معلم",0,SUMPRODUCT((WEEKDAY(ROW(INDIRECT(INT($C49)&amp;":"&amp;INT($D49))),2)&lt;5)+(WEEKDAY(ROW(INDIRECT(INT($C49)&amp;":"&amp;INT($D49))),2)=7)))</f>
        <v>86</v>
      </c>
      <c r="F49" s="23" t="n">
        <f aca="false">ROUND(AVERAGE(F50,F51,F52,F53),0)</f>
        <v>0</v>
      </c>
      <c r="G49" s="24" t="str">
        <f aca="false">IF(F49&gt;=100,"مكتملة",IF(F49&gt;0,"قيد التنفيذ","لم تبدأ"))</f>
        <v>لم تبدأ</v>
      </c>
      <c r="H49" s="24" t="str">
        <f aca="true">IF(F49&gt;=100,"مكتمل",IF(TODAY()&gt;INT(D49),"يستوجب المتابعة",IF(TODAY()&lt;INT(C49),"لم يحن موعده","ضمن مدته")))</f>
        <v>لم يحن موعده</v>
      </c>
      <c r="I49" s="24" t="s">
        <v>30</v>
      </c>
      <c r="J49" s="25" t="s">
        <v>91</v>
      </c>
      <c r="K49" s="25" t="s">
        <v>32</v>
      </c>
      <c r="L49" s="26" t="n">
        <f aca="true">IF(F49&gt;=100,"—",INT(D49)-TODAY())</f>
        <v>186</v>
      </c>
      <c r="M49" s="27"/>
    </row>
    <row r="50" customFormat="false" ht="21.75" hidden="true" customHeight="true" outlineLevel="2" collapsed="false">
      <c r="A50" s="28" t="s">
        <v>161</v>
      </c>
      <c r="B50" s="29" t="s">
        <v>162</v>
      </c>
      <c r="C50" s="30" t="n">
        <f aca="false">$G$3-44</f>
        <v>46327</v>
      </c>
      <c r="D50" s="30" t="n">
        <f aca="false">$G$3-15</f>
        <v>46356</v>
      </c>
      <c r="E50" s="31" t="n">
        <f aca="true">IF($I50="معلم",0,SUMPRODUCT((WEEKDAY(ROW(INDIRECT(INT($C50)&amp;":"&amp;INT($D50))),2)&lt;5)+(WEEKDAY(ROW(INDIRECT(INT($C50)&amp;":"&amp;INT($D50))),2)=7)))</f>
        <v>22</v>
      </c>
      <c r="F50" s="32" t="n">
        <v>0</v>
      </c>
      <c r="G50" s="33" t="str">
        <f aca="false">IF(F50&gt;=100,"مكتملة",IF(F50&gt;0,"قيد التنفيذ","لم تبدأ"))</f>
        <v>لم تبدأ</v>
      </c>
      <c r="H50" s="33" t="str">
        <f aca="true">IF(F50&gt;=100,"مكتمل",IF(TODAY()&gt;INT(D50),"يستوجب المتابعة",IF(TODAY()&lt;INT(C50),"لم يحن موعده","ضمن مدته")))</f>
        <v>لم يحن موعده</v>
      </c>
      <c r="I50" s="33" t="s">
        <v>30</v>
      </c>
      <c r="J50" s="34" t="s">
        <v>91</v>
      </c>
      <c r="K50" s="34" t="s">
        <v>163</v>
      </c>
      <c r="L50" s="35" t="n">
        <f aca="true">IF(F50&gt;=100,"—",INT(D50)-TODAY())</f>
        <v>96</v>
      </c>
      <c r="M50" s="36"/>
    </row>
    <row r="51" customFormat="false" ht="21.75" hidden="true" customHeight="true" outlineLevel="2" collapsed="false">
      <c r="A51" s="28" t="s">
        <v>164</v>
      </c>
      <c r="B51" s="29" t="s">
        <v>165</v>
      </c>
      <c r="C51" s="30" t="n">
        <f aca="false">$G$3-44</f>
        <v>46327</v>
      </c>
      <c r="D51" s="30" t="n">
        <f aca="false">$G$3+16</f>
        <v>46387</v>
      </c>
      <c r="E51" s="31" t="n">
        <f aca="true">IF($I51="معلم",0,SUMPRODUCT((WEEKDAY(ROW(INDIRECT(INT($C51)&amp;":"&amp;INT($D51))),2)&lt;5)+(WEEKDAY(ROW(INDIRECT(INT($C51)&amp;":"&amp;INT($D51))),2)=7)))</f>
        <v>45</v>
      </c>
      <c r="F51" s="32" t="n">
        <v>0</v>
      </c>
      <c r="G51" s="33" t="str">
        <f aca="false">IF(F51&gt;=100,"مكتملة",IF(F51&gt;0,"قيد التنفيذ","لم تبدأ"))</f>
        <v>لم تبدأ</v>
      </c>
      <c r="H51" s="33" t="str">
        <f aca="true">IF(F51&gt;=100,"مكتمل",IF(TODAY()&gt;INT(D51),"يستوجب المتابعة",IF(TODAY()&lt;INT(C51),"لم يحن موعده","ضمن مدته")))</f>
        <v>لم يحن موعده</v>
      </c>
      <c r="I51" s="33" t="s">
        <v>30</v>
      </c>
      <c r="J51" s="34" t="s">
        <v>91</v>
      </c>
      <c r="K51" s="34" t="s">
        <v>32</v>
      </c>
      <c r="L51" s="35" t="n">
        <f aca="true">IF(F51&gt;=100,"—",INT(D51)-TODAY())</f>
        <v>127</v>
      </c>
      <c r="M51" s="36"/>
    </row>
    <row r="52" customFormat="false" ht="21.75" hidden="true" customHeight="true" outlineLevel="2" collapsed="false">
      <c r="A52" s="28" t="s">
        <v>166</v>
      </c>
      <c r="B52" s="29" t="s">
        <v>167</v>
      </c>
      <c r="C52" s="30" t="n">
        <f aca="false">$G$3-14</f>
        <v>46357</v>
      </c>
      <c r="D52" s="30" t="n">
        <f aca="false">$G$3+47</f>
        <v>46418</v>
      </c>
      <c r="E52" s="31" t="n">
        <f aca="true">IF($I52="معلم",0,SUMPRODUCT((WEEKDAY(ROW(INDIRECT(INT($C52)&amp;":"&amp;INT($D52))),2)&lt;5)+(WEEKDAY(ROW(INDIRECT(INT($C52)&amp;":"&amp;INT($D52))),2)=7)))</f>
        <v>44</v>
      </c>
      <c r="F52" s="32" t="n">
        <v>0</v>
      </c>
      <c r="G52" s="33" t="str">
        <f aca="false">IF(F52&gt;=100,"مكتملة",IF(F52&gt;0,"قيد التنفيذ","لم تبدأ"))</f>
        <v>لم تبدأ</v>
      </c>
      <c r="H52" s="33" t="str">
        <f aca="true">IF(F52&gt;=100,"مكتمل",IF(TODAY()&gt;INT(D52),"يستوجب المتابعة",IF(TODAY()&lt;INT(C52),"لم يحن موعده","ضمن مدته")))</f>
        <v>لم يحن موعده</v>
      </c>
      <c r="I52" s="33" t="s">
        <v>30</v>
      </c>
      <c r="J52" s="34" t="s">
        <v>91</v>
      </c>
      <c r="K52" s="34" t="s">
        <v>32</v>
      </c>
      <c r="L52" s="35" t="n">
        <f aca="true">IF(F52&gt;=100,"—",INT(D52)-TODAY())</f>
        <v>158</v>
      </c>
      <c r="M52" s="36"/>
    </row>
    <row r="53" customFormat="false" ht="21.75" hidden="true" customHeight="true" outlineLevel="2" collapsed="false">
      <c r="A53" s="28" t="s">
        <v>168</v>
      </c>
      <c r="B53" s="29" t="s">
        <v>169</v>
      </c>
      <c r="C53" s="30" t="n">
        <f aca="false">$G$3+48</f>
        <v>46419</v>
      </c>
      <c r="D53" s="30" t="n">
        <f aca="false">$G$3+75</f>
        <v>46446</v>
      </c>
      <c r="E53" s="31" t="n">
        <f aca="true">IF($I53="معلم",0,SUMPRODUCT((WEEKDAY(ROW(INDIRECT(INT($C53)&amp;":"&amp;INT($D53))),2)&lt;5)+(WEEKDAY(ROW(INDIRECT(INT($C53)&amp;":"&amp;INT($D53))),2)=7)))</f>
        <v>20</v>
      </c>
      <c r="F53" s="32" t="n">
        <v>0</v>
      </c>
      <c r="G53" s="33" t="str">
        <f aca="false">IF(F53&gt;=100,"مكتملة",IF(F53&gt;0,"قيد التنفيذ","لم تبدأ"))</f>
        <v>لم تبدأ</v>
      </c>
      <c r="H53" s="33" t="str">
        <f aca="true">IF(F53&gt;=100,"مكتمل",IF(TODAY()&gt;INT(D53),"يستوجب المتابعة",IF(TODAY()&lt;INT(C53),"لم يحن موعده","ضمن مدته")))</f>
        <v>لم يحن موعده</v>
      </c>
      <c r="I53" s="33" t="s">
        <v>30</v>
      </c>
      <c r="J53" s="34" t="s">
        <v>144</v>
      </c>
      <c r="K53" s="34" t="s">
        <v>32</v>
      </c>
      <c r="L53" s="35" t="n">
        <f aca="true">IF(F53&gt;=100,"—",INT(D53)-TODAY())</f>
        <v>186</v>
      </c>
      <c r="M53" s="36"/>
    </row>
    <row r="54" customFormat="false" ht="21.75" hidden="false" customHeight="true" outlineLevel="1" collapsed="false">
      <c r="A54" s="37" t="s">
        <v>170</v>
      </c>
      <c r="B54" s="38" t="s">
        <v>171</v>
      </c>
      <c r="C54" s="39" t="n">
        <f aca="false">$G$3+75</f>
        <v>46446</v>
      </c>
      <c r="D54" s="39" t="n">
        <f aca="false">$G$3+75</f>
        <v>46446</v>
      </c>
      <c r="E54" s="40" t="n">
        <f aca="true">IF($I54="معلم",0,SUMPRODUCT((WEEKDAY(ROW(INDIRECT(INT($C54)&amp;":"&amp;INT($D54))),2)&lt;5)+(WEEKDAY(ROW(INDIRECT(INT($C54)&amp;":"&amp;INT($D54))),2)=7)))</f>
        <v>0</v>
      </c>
      <c r="F54" s="41" t="n">
        <v>0</v>
      </c>
      <c r="G54" s="42" t="str">
        <f aca="false">IF(F54&gt;=100,"مكتملة",IF(F54&gt;0,"قيد التنفيذ","لم تبدأ"))</f>
        <v>لم تبدأ</v>
      </c>
      <c r="H54" s="42" t="str">
        <f aca="true">IF(F54&gt;=100,"مكتمل",IF(TODAY()&gt;INT(D54),"يستوجب المتابعة",IF(TODAY()&lt;INT(C54),"لم يحن موعده","ضمن مدته")))</f>
        <v>لم يحن موعده</v>
      </c>
      <c r="I54" s="42" t="s">
        <v>50</v>
      </c>
      <c r="J54" s="43" t="s">
        <v>91</v>
      </c>
      <c r="K54" s="43" t="s">
        <v>32</v>
      </c>
      <c r="L54" s="44" t="n">
        <f aca="true">IF(F54&gt;=100,"—",INT(D54)-TODAY())</f>
        <v>186</v>
      </c>
      <c r="M54" s="45"/>
    </row>
    <row r="55" customFormat="false" ht="25.5" hidden="false" customHeight="true" outlineLevel="0" collapsed="false">
      <c r="A55" s="11" t="s">
        <v>172</v>
      </c>
      <c r="B55" s="12" t="s">
        <v>173</v>
      </c>
      <c r="C55" s="13" t="n">
        <f aca="false">MIN(C56,C60,C61,C68)</f>
        <v>46296</v>
      </c>
      <c r="D55" s="13" t="n">
        <f aca="false">MAX(D56,D60,D61,D68)</f>
        <v>46371</v>
      </c>
      <c r="E55" s="14" t="n">
        <f aca="true">IF($I55="معلم",0,SUMPRODUCT((WEEKDAY(ROW(INDIRECT(INT($C55)&amp;":"&amp;INT($D55))),2)&lt;5)+(WEEKDAY(ROW(INDIRECT(INT($C55)&amp;":"&amp;INT($D55))),2)=7)))</f>
        <v>54</v>
      </c>
      <c r="F55" s="15" t="n">
        <f aca="false">ROUND(AVERAGE(F56,F60,F61,F68),0)</f>
        <v>0</v>
      </c>
      <c r="G55" s="16" t="str">
        <f aca="false">IF(F55&gt;=100,"مكتملة",IF(F55&gt;0,"قيد التنفيذ","لم تبدأ"))</f>
        <v>لم تبدأ</v>
      </c>
      <c r="H55" s="16" t="str">
        <f aca="true">IF(F55&gt;=100,"مكتمل",IF(TODAY()&gt;INT(D55),"يستوجب المتابعة",IF(TODAY()&lt;INT(C55),"لم يحن موعده","ضمن مدته")))</f>
        <v>لم يحن موعده</v>
      </c>
      <c r="I55" s="16" t="s">
        <v>30</v>
      </c>
      <c r="J55" s="17" t="s">
        <v>35</v>
      </c>
      <c r="K55" s="17" t="s">
        <v>174</v>
      </c>
      <c r="L55" s="18" t="n">
        <f aca="true">IF(F55&gt;=100,"—",INT(D55)-TODAY())</f>
        <v>111</v>
      </c>
      <c r="M55" s="12"/>
    </row>
    <row r="56" customFormat="false" ht="21.75" hidden="false" customHeight="true" outlineLevel="1" collapsed="true">
      <c r="A56" s="19" t="s">
        <v>175</v>
      </c>
      <c r="B56" s="20" t="s">
        <v>176</v>
      </c>
      <c r="C56" s="21" t="n">
        <f aca="false">MIN(C57,C58,C59)</f>
        <v>46296</v>
      </c>
      <c r="D56" s="21" t="n">
        <f aca="false">MAX(D57,D58,D59)</f>
        <v>46341</v>
      </c>
      <c r="E56" s="22" t="n">
        <f aca="true">IF($I56="معلم",0,SUMPRODUCT((WEEKDAY(ROW(INDIRECT(INT($C56)&amp;":"&amp;INT($D56))),2)&lt;5)+(WEEKDAY(ROW(INDIRECT(INT($C56)&amp;":"&amp;INT($D56))),2)=7)))</f>
        <v>32</v>
      </c>
      <c r="F56" s="23" t="n">
        <f aca="false">ROUND(AVERAGE(F57,F58,F59),0)</f>
        <v>0</v>
      </c>
      <c r="G56" s="24" t="str">
        <f aca="false">IF(F56&gt;=100,"مكتملة",IF(F56&gt;0,"قيد التنفيذ","لم تبدأ"))</f>
        <v>لم تبدأ</v>
      </c>
      <c r="H56" s="24" t="str">
        <f aca="true">IF(F56&gt;=100,"مكتمل",IF(TODAY()&gt;INT(D56),"يستوجب المتابعة",IF(TODAY()&lt;INT(C56),"لم يحن موعده","ضمن مدته")))</f>
        <v>لم يحن موعده</v>
      </c>
      <c r="I56" s="24" t="s">
        <v>30</v>
      </c>
      <c r="J56" s="25" t="s">
        <v>35</v>
      </c>
      <c r="K56" s="25" t="s">
        <v>177</v>
      </c>
      <c r="L56" s="26" t="n">
        <f aca="true">IF(F56&gt;=100,"—",INT(D56)-TODAY())</f>
        <v>81</v>
      </c>
      <c r="M56" s="27"/>
    </row>
    <row r="57" customFormat="false" ht="21.75" hidden="true" customHeight="true" outlineLevel="2" collapsed="false">
      <c r="A57" s="28" t="s">
        <v>178</v>
      </c>
      <c r="B57" s="29" t="s">
        <v>179</v>
      </c>
      <c r="C57" s="30" t="n">
        <f aca="false">$H$3-45</f>
        <v>46296</v>
      </c>
      <c r="D57" s="30" t="n">
        <f aca="false">$H$3-15</f>
        <v>46326</v>
      </c>
      <c r="E57" s="31" t="n">
        <f aca="true">IF($I57="معلم",0,SUMPRODUCT((WEEKDAY(ROW(INDIRECT(INT($C57)&amp;":"&amp;INT($D57))),2)&lt;5)+(WEEKDAY(ROW(INDIRECT(INT($C57)&amp;":"&amp;INT($D57))),2)=7)))</f>
        <v>21</v>
      </c>
      <c r="F57" s="32" t="n">
        <v>0</v>
      </c>
      <c r="G57" s="33" t="str">
        <f aca="false">IF(F57&gt;=100,"مكتملة",IF(F57&gt;0,"قيد التنفيذ","لم تبدأ"))</f>
        <v>لم تبدأ</v>
      </c>
      <c r="H57" s="33" t="str">
        <f aca="true">IF(F57&gt;=100,"مكتمل",IF(TODAY()&gt;INT(D57),"يستوجب المتابعة",IF(TODAY()&lt;INT(C57),"لم يحن موعده","ضمن مدته")))</f>
        <v>لم يحن موعده</v>
      </c>
      <c r="I57" s="33" t="s">
        <v>30</v>
      </c>
      <c r="J57" s="34" t="s">
        <v>180</v>
      </c>
      <c r="K57" s="34" t="s">
        <v>177</v>
      </c>
      <c r="L57" s="35" t="n">
        <f aca="true">IF(F57&gt;=100,"—",INT(D57)-TODAY())</f>
        <v>66</v>
      </c>
      <c r="M57" s="36" t="s">
        <v>181</v>
      </c>
    </row>
    <row r="58" customFormat="false" ht="21.75" hidden="true" customHeight="true" outlineLevel="2" collapsed="false">
      <c r="A58" s="28" t="s">
        <v>182</v>
      </c>
      <c r="B58" s="29" t="s">
        <v>183</v>
      </c>
      <c r="C58" s="30" t="n">
        <f aca="false">$H$3-45</f>
        <v>46296</v>
      </c>
      <c r="D58" s="30" t="n">
        <f aca="false">$H$3</f>
        <v>46341</v>
      </c>
      <c r="E58" s="31" t="n">
        <f aca="true">IF($I58="معلم",0,SUMPRODUCT((WEEKDAY(ROW(INDIRECT(INT($C58)&amp;":"&amp;INT($D58))),2)&lt;5)+(WEEKDAY(ROW(INDIRECT(INT($C58)&amp;":"&amp;INT($D58))),2)=7)))</f>
        <v>32</v>
      </c>
      <c r="F58" s="32" t="n">
        <v>0</v>
      </c>
      <c r="G58" s="33" t="str">
        <f aca="false">IF(F58&gt;=100,"مكتملة",IF(F58&gt;0,"قيد التنفيذ","لم تبدأ"))</f>
        <v>لم تبدأ</v>
      </c>
      <c r="H58" s="33" t="str">
        <f aca="true">IF(F58&gt;=100,"مكتمل",IF(TODAY()&gt;INT(D58),"يستوجب المتابعة",IF(TODAY()&lt;INT(C58),"لم يحن موعده","ضمن مدته")))</f>
        <v>لم يحن موعده</v>
      </c>
      <c r="I58" s="33" t="s">
        <v>30</v>
      </c>
      <c r="J58" s="34" t="s">
        <v>35</v>
      </c>
      <c r="K58" s="34" t="s">
        <v>177</v>
      </c>
      <c r="L58" s="35" t="n">
        <f aca="true">IF(F58&gt;=100,"—",INT(D58)-TODAY())</f>
        <v>81</v>
      </c>
      <c r="M58" s="36" t="s">
        <v>184</v>
      </c>
    </row>
    <row r="59" customFormat="false" ht="21.75" hidden="true" customHeight="true" outlineLevel="2" collapsed="false">
      <c r="A59" s="28" t="s">
        <v>185</v>
      </c>
      <c r="B59" s="29" t="s">
        <v>186</v>
      </c>
      <c r="C59" s="30" t="n">
        <f aca="false">$H$3-45</f>
        <v>46296</v>
      </c>
      <c r="D59" s="30" t="n">
        <f aca="false">$H$3-15</f>
        <v>46326</v>
      </c>
      <c r="E59" s="31" t="n">
        <f aca="true">IF($I59="معلم",0,SUMPRODUCT((WEEKDAY(ROW(INDIRECT(INT($C59)&amp;":"&amp;INT($D59))),2)&lt;5)+(WEEKDAY(ROW(INDIRECT(INT($C59)&amp;":"&amp;INT($D59))),2)=7)))</f>
        <v>21</v>
      </c>
      <c r="F59" s="32" t="n">
        <v>0</v>
      </c>
      <c r="G59" s="33" t="str">
        <f aca="false">IF(F59&gt;=100,"مكتملة",IF(F59&gt;0,"قيد التنفيذ","لم تبدأ"))</f>
        <v>لم تبدأ</v>
      </c>
      <c r="H59" s="33" t="str">
        <f aca="true">IF(F59&gt;=100,"مكتمل",IF(TODAY()&gt;INT(D59),"يستوجب المتابعة",IF(TODAY()&lt;INT(C59),"لم يحن موعده","ضمن مدته")))</f>
        <v>لم يحن موعده</v>
      </c>
      <c r="I59" s="33" t="s">
        <v>30</v>
      </c>
      <c r="J59" s="34" t="s">
        <v>35</v>
      </c>
      <c r="K59" s="34" t="s">
        <v>187</v>
      </c>
      <c r="L59" s="35" t="n">
        <f aca="true">IF(F59&gt;=100,"—",INT(D59)-TODAY())</f>
        <v>66</v>
      </c>
      <c r="M59" s="36"/>
    </row>
    <row r="60" customFormat="false" ht="21.75" hidden="false" customHeight="true" outlineLevel="1" collapsed="false">
      <c r="A60" s="37" t="s">
        <v>188</v>
      </c>
      <c r="B60" s="38" t="s">
        <v>189</v>
      </c>
      <c r="C60" s="39" t="n">
        <f aca="false">$H$3</f>
        <v>46341</v>
      </c>
      <c r="D60" s="39" t="n">
        <f aca="false">$H$3</f>
        <v>46341</v>
      </c>
      <c r="E60" s="40" t="n">
        <f aca="true">IF($I60="معلم",0,SUMPRODUCT((WEEKDAY(ROW(INDIRECT(INT($C60)&amp;":"&amp;INT($D60))),2)&lt;5)+(WEEKDAY(ROW(INDIRECT(INT($C60)&amp;":"&amp;INT($D60))),2)=7)))</f>
        <v>0</v>
      </c>
      <c r="F60" s="41" t="n">
        <v>0</v>
      </c>
      <c r="G60" s="42" t="str">
        <f aca="false">IF(F60&gt;=100,"مكتملة",IF(F60&gt;0,"قيد التنفيذ","لم تبدأ"))</f>
        <v>لم تبدأ</v>
      </c>
      <c r="H60" s="42" t="str">
        <f aca="true">IF(F60&gt;=100,"مكتمل",IF(TODAY()&gt;INT(D60),"يستوجب المتابعة",IF(TODAY()&lt;INT(C60),"لم يحن موعده","ضمن مدته")))</f>
        <v>لم يحن موعده</v>
      </c>
      <c r="I60" s="42" t="s">
        <v>50</v>
      </c>
      <c r="J60" s="43" t="s">
        <v>35</v>
      </c>
      <c r="K60" s="43" t="s">
        <v>190</v>
      </c>
      <c r="L60" s="44" t="n">
        <f aca="true">IF(F60&gt;=100,"—",INT(D60)-TODAY())</f>
        <v>81</v>
      </c>
      <c r="M60" s="45" t="s">
        <v>191</v>
      </c>
    </row>
    <row r="61" customFormat="false" ht="21.75" hidden="false" customHeight="true" outlineLevel="1" collapsed="true">
      <c r="A61" s="19" t="s">
        <v>192</v>
      </c>
      <c r="B61" s="20" t="s">
        <v>193</v>
      </c>
      <c r="C61" s="21" t="n">
        <f aca="false">MIN(C62,C66,C67)</f>
        <v>46327</v>
      </c>
      <c r="D61" s="21" t="n">
        <f aca="false">MAX(D62,D66,D67)</f>
        <v>46371</v>
      </c>
      <c r="E61" s="22" t="n">
        <f aca="true">IF($I61="معلم",0,SUMPRODUCT((WEEKDAY(ROW(INDIRECT(INT($C61)&amp;":"&amp;INT($D61))),2)&lt;5)+(WEEKDAY(ROW(INDIRECT(INT($C61)&amp;":"&amp;INT($D61))),2)=7)))</f>
        <v>33</v>
      </c>
      <c r="F61" s="23" t="n">
        <f aca="false">ROUND(AVERAGE(F62,F66,F67),0)</f>
        <v>0</v>
      </c>
      <c r="G61" s="24" t="str">
        <f aca="false">IF(F61&gt;=100,"مكتملة",IF(F61&gt;0,"قيد التنفيذ","لم تبدأ"))</f>
        <v>لم تبدأ</v>
      </c>
      <c r="H61" s="24" t="str">
        <f aca="true">IF(F61&gt;=100,"مكتمل",IF(TODAY()&gt;INT(D61),"يستوجب المتابعة",IF(TODAY()&lt;INT(C61),"لم يحن موعده","ضمن مدته")))</f>
        <v>لم يحن موعده</v>
      </c>
      <c r="I61" s="24" t="s">
        <v>30</v>
      </c>
      <c r="J61" s="25" t="s">
        <v>194</v>
      </c>
      <c r="K61" s="25" t="s">
        <v>195</v>
      </c>
      <c r="L61" s="26" t="n">
        <f aca="true">IF(F61&gt;=100,"—",INT(D61)-TODAY())</f>
        <v>111</v>
      </c>
      <c r="M61" s="27"/>
    </row>
    <row r="62" customFormat="false" ht="21.75" hidden="true" customHeight="true" outlineLevel="2" collapsed="true">
      <c r="A62" s="19" t="s">
        <v>196</v>
      </c>
      <c r="B62" s="46" t="s">
        <v>197</v>
      </c>
      <c r="C62" s="21" t="n">
        <f aca="false">MIN(C63,C64,C65)</f>
        <v>46342</v>
      </c>
      <c r="D62" s="21" t="n">
        <f aca="false">MAX(D63,D64,D65)</f>
        <v>46370</v>
      </c>
      <c r="E62" s="22" t="n">
        <f aca="true">IF($I62="معلم",0,SUMPRODUCT((WEEKDAY(ROW(INDIRECT(INT($C62)&amp;":"&amp;INT($D62))),2)&lt;5)+(WEEKDAY(ROW(INDIRECT(INT($C62)&amp;":"&amp;INT($D62))),2)=7)))</f>
        <v>21</v>
      </c>
      <c r="F62" s="23" t="n">
        <f aca="false">ROUND(AVERAGE(F63,F64,F65),0)</f>
        <v>0</v>
      </c>
      <c r="G62" s="24" t="str">
        <f aca="false">IF(F62&gt;=100,"مكتملة",IF(F62&gt;0,"قيد التنفيذ","لم تبدأ"))</f>
        <v>لم تبدأ</v>
      </c>
      <c r="H62" s="24" t="str">
        <f aca="true">IF(F62&gt;=100,"مكتمل",IF(TODAY()&gt;INT(D62),"يستوجب المتابعة",IF(TODAY()&lt;INT(C62),"لم يحن موعده","ضمن مدته")))</f>
        <v>لم يحن موعده</v>
      </c>
      <c r="I62" s="24" t="s">
        <v>30</v>
      </c>
      <c r="J62" s="25" t="s">
        <v>194</v>
      </c>
      <c r="K62" s="25" t="s">
        <v>195</v>
      </c>
      <c r="L62" s="26" t="n">
        <f aca="true">IF(F62&gt;=100,"—",INT(D62)-TODAY())</f>
        <v>110</v>
      </c>
      <c r="M62" s="47" t="s">
        <v>198</v>
      </c>
    </row>
    <row r="63" customFormat="false" ht="21.75" hidden="true" customHeight="true" outlineLevel="3" collapsed="false">
      <c r="A63" s="28" t="s">
        <v>199</v>
      </c>
      <c r="B63" s="48" t="s">
        <v>200</v>
      </c>
      <c r="C63" s="30" t="n">
        <f aca="false">$H$3+1</f>
        <v>46342</v>
      </c>
      <c r="D63" s="30" t="n">
        <f aca="false">$H$3+7</f>
        <v>46348</v>
      </c>
      <c r="E63" s="31" t="n">
        <f aca="true">IF($I63="معلم",0,SUMPRODUCT((WEEKDAY(ROW(INDIRECT(INT($C63)&amp;":"&amp;INT($D63))),2)&lt;5)+(WEEKDAY(ROW(INDIRECT(INT($C63)&amp;":"&amp;INT($D63))),2)=7)))</f>
        <v>5</v>
      </c>
      <c r="F63" s="32" t="n">
        <v>0</v>
      </c>
      <c r="G63" s="33" t="str">
        <f aca="false">IF(F63&gt;=100,"مكتملة",IF(F63&gt;0,"قيد التنفيذ","لم تبدأ"))</f>
        <v>لم تبدأ</v>
      </c>
      <c r="H63" s="33" t="str">
        <f aca="true">IF(F63&gt;=100,"مكتمل",IF(TODAY()&gt;INT(D63),"يستوجب المتابعة",IF(TODAY()&lt;INT(C63),"لم يحن موعده","ضمن مدته")))</f>
        <v>لم يحن موعده</v>
      </c>
      <c r="I63" s="33" t="s">
        <v>30</v>
      </c>
      <c r="J63" s="34" t="s">
        <v>180</v>
      </c>
      <c r="K63" s="34" t="s">
        <v>195</v>
      </c>
      <c r="L63" s="35" t="n">
        <f aca="true">IF(F63&gt;=100,"—",INT(D63)-TODAY())</f>
        <v>88</v>
      </c>
      <c r="M63" s="36"/>
    </row>
    <row r="64" customFormat="false" ht="21.75" hidden="true" customHeight="true" outlineLevel="3" collapsed="false">
      <c r="A64" s="28" t="s">
        <v>201</v>
      </c>
      <c r="B64" s="48" t="s">
        <v>202</v>
      </c>
      <c r="C64" s="30" t="n">
        <f aca="false">$H$3+8</f>
        <v>46349</v>
      </c>
      <c r="D64" s="30" t="n">
        <f aca="false">$G$3-9</f>
        <v>46362</v>
      </c>
      <c r="E64" s="31" t="n">
        <f aca="true">IF($I64="معلم",0,SUMPRODUCT((WEEKDAY(ROW(INDIRECT(INT($C64)&amp;":"&amp;INT($D64))),2)&lt;5)+(WEEKDAY(ROW(INDIRECT(INT($C64)&amp;":"&amp;INT($D64))),2)=7)))</f>
        <v>10</v>
      </c>
      <c r="F64" s="32" t="n">
        <v>0</v>
      </c>
      <c r="G64" s="33" t="str">
        <f aca="false">IF(F64&gt;=100,"مكتملة",IF(F64&gt;0,"قيد التنفيذ","لم تبدأ"))</f>
        <v>لم تبدأ</v>
      </c>
      <c r="H64" s="33" t="str">
        <f aca="true">IF(F64&gt;=100,"مكتمل",IF(TODAY()&gt;INT(D64),"يستوجب المتابعة",IF(TODAY()&lt;INT(C64),"لم يحن موعده","ضمن مدته")))</f>
        <v>لم يحن موعده</v>
      </c>
      <c r="I64" s="33" t="s">
        <v>30</v>
      </c>
      <c r="J64" s="34" t="s">
        <v>194</v>
      </c>
      <c r="K64" s="34" t="s">
        <v>195</v>
      </c>
      <c r="L64" s="35" t="n">
        <f aca="true">IF(F64&gt;=100,"—",INT(D64)-TODAY())</f>
        <v>102</v>
      </c>
      <c r="M64" s="36"/>
    </row>
    <row r="65" customFormat="false" ht="21.75" hidden="true" customHeight="true" outlineLevel="3" collapsed="false">
      <c r="A65" s="28" t="s">
        <v>203</v>
      </c>
      <c r="B65" s="48" t="s">
        <v>204</v>
      </c>
      <c r="C65" s="30" t="n">
        <f aca="false">$G$3-8</f>
        <v>46363</v>
      </c>
      <c r="D65" s="30" t="n">
        <f aca="false">$G$3-1</f>
        <v>46370</v>
      </c>
      <c r="E65" s="31" t="n">
        <f aca="true">IF($I65="معلم",0,SUMPRODUCT((WEEKDAY(ROW(INDIRECT(INT($C65)&amp;":"&amp;INT($D65))),2)&lt;5)+(WEEKDAY(ROW(INDIRECT(INT($C65)&amp;":"&amp;INT($D65))),2)=7)))</f>
        <v>6</v>
      </c>
      <c r="F65" s="32" t="n">
        <v>0</v>
      </c>
      <c r="G65" s="33" t="str">
        <f aca="false">IF(F65&gt;=100,"مكتملة",IF(F65&gt;0,"قيد التنفيذ","لم تبدأ"))</f>
        <v>لم تبدأ</v>
      </c>
      <c r="H65" s="33" t="str">
        <f aca="true">IF(F65&gt;=100,"مكتمل",IF(TODAY()&gt;INT(D65),"يستوجب المتابعة",IF(TODAY()&lt;INT(C65),"لم يحن موعده","ضمن مدته")))</f>
        <v>لم يحن موعده</v>
      </c>
      <c r="I65" s="33" t="s">
        <v>30</v>
      </c>
      <c r="J65" s="34" t="s">
        <v>194</v>
      </c>
      <c r="K65" s="34" t="s">
        <v>195</v>
      </c>
      <c r="L65" s="35" t="n">
        <f aca="true">IF(F65&gt;=100,"—",INT(D65)-TODAY())</f>
        <v>110</v>
      </c>
      <c r="M65" s="36"/>
    </row>
    <row r="66" customFormat="false" ht="21.75" hidden="true" customHeight="true" outlineLevel="2" collapsed="false">
      <c r="A66" s="28" t="s">
        <v>205</v>
      </c>
      <c r="B66" s="29" t="s">
        <v>206</v>
      </c>
      <c r="C66" s="30" t="n">
        <f aca="false">$H$3+1</f>
        <v>46342</v>
      </c>
      <c r="D66" s="30" t="n">
        <f aca="false">$G$3</f>
        <v>46371</v>
      </c>
      <c r="E66" s="31" t="n">
        <f aca="true">IF($I66="معلم",0,SUMPRODUCT((WEEKDAY(ROW(INDIRECT(INT($C66)&amp;":"&amp;INT($D66))),2)&lt;5)+(WEEKDAY(ROW(INDIRECT(INT($C66)&amp;":"&amp;INT($D66))),2)=7)))</f>
        <v>22</v>
      </c>
      <c r="F66" s="32" t="n">
        <v>0</v>
      </c>
      <c r="G66" s="33" t="str">
        <f aca="false">IF(F66&gt;=100,"مكتملة",IF(F66&gt;0,"قيد التنفيذ","لم تبدأ"))</f>
        <v>لم تبدأ</v>
      </c>
      <c r="H66" s="33" t="str">
        <f aca="true">IF(F66&gt;=100,"مكتمل",IF(TODAY()&gt;INT(D66),"يستوجب المتابعة",IF(TODAY()&lt;INT(C66),"لم يحن موعده","ضمن مدته")))</f>
        <v>لم يحن موعده</v>
      </c>
      <c r="I66" s="33" t="s">
        <v>30</v>
      </c>
      <c r="J66" s="34" t="s">
        <v>194</v>
      </c>
      <c r="K66" s="34" t="s">
        <v>207</v>
      </c>
      <c r="L66" s="35" t="n">
        <f aca="true">IF(F66&gt;=100,"—",INT(D66)-TODAY())</f>
        <v>111</v>
      </c>
      <c r="M66" s="36" t="s">
        <v>208</v>
      </c>
    </row>
    <row r="67" customFormat="false" ht="21.75" hidden="true" customHeight="true" outlineLevel="2" collapsed="false">
      <c r="A67" s="28" t="s">
        <v>209</v>
      </c>
      <c r="B67" s="29" t="s">
        <v>210</v>
      </c>
      <c r="C67" s="30" t="n">
        <f aca="false">$H$3-14</f>
        <v>46327</v>
      </c>
      <c r="D67" s="30" t="n">
        <f aca="false">$G$3</f>
        <v>46371</v>
      </c>
      <c r="E67" s="31" t="n">
        <f aca="true">IF($I67="معلم",0,SUMPRODUCT((WEEKDAY(ROW(INDIRECT(INT($C67)&amp;":"&amp;INT($D67))),2)&lt;5)+(WEEKDAY(ROW(INDIRECT(INT($C67)&amp;":"&amp;INT($D67))),2)=7)))</f>
        <v>33</v>
      </c>
      <c r="F67" s="32" t="n">
        <v>0</v>
      </c>
      <c r="G67" s="33" t="str">
        <f aca="false">IF(F67&gt;=100,"مكتملة",IF(F67&gt;0,"قيد التنفيذ","لم تبدأ"))</f>
        <v>لم تبدأ</v>
      </c>
      <c r="H67" s="33" t="str">
        <f aca="true">IF(F67&gt;=100,"مكتمل",IF(TODAY()&gt;INT(D67),"يستوجب المتابعة",IF(TODAY()&lt;INT(C67),"لم يحن موعده","ضمن مدته")))</f>
        <v>لم يحن موعده</v>
      </c>
      <c r="I67" s="33" t="s">
        <v>30</v>
      </c>
      <c r="J67" s="34" t="s">
        <v>35</v>
      </c>
      <c r="K67" s="34" t="s">
        <v>211</v>
      </c>
      <c r="L67" s="35" t="n">
        <f aca="true">IF(F67&gt;=100,"—",INT(D67)-TODAY())</f>
        <v>111</v>
      </c>
      <c r="M67" s="36"/>
    </row>
    <row r="68" customFormat="false" ht="21.75" hidden="false" customHeight="true" outlineLevel="1" collapsed="false">
      <c r="A68" s="37" t="s">
        <v>212</v>
      </c>
      <c r="B68" s="38" t="s">
        <v>213</v>
      </c>
      <c r="C68" s="39" t="n">
        <f aca="false">$G$3</f>
        <v>46371</v>
      </c>
      <c r="D68" s="39" t="n">
        <f aca="false">$G$3</f>
        <v>46371</v>
      </c>
      <c r="E68" s="40" t="n">
        <f aca="true">IF($I68="معلم",0,SUMPRODUCT((WEEKDAY(ROW(INDIRECT(INT($C68)&amp;":"&amp;INT($D68))),2)&lt;5)+(WEEKDAY(ROW(INDIRECT(INT($C68)&amp;":"&amp;INT($D68))),2)=7)))</f>
        <v>0</v>
      </c>
      <c r="F68" s="41" t="n">
        <v>0</v>
      </c>
      <c r="G68" s="42" t="str">
        <f aca="false">IF(F68&gt;=100,"مكتملة",IF(F68&gt;0,"قيد التنفيذ","لم تبدأ"))</f>
        <v>لم تبدأ</v>
      </c>
      <c r="H68" s="42" t="str">
        <f aca="true">IF(F68&gt;=100,"مكتمل",IF(TODAY()&gt;INT(D68),"يستوجب المتابعة",IF(TODAY()&lt;INT(C68),"لم يحن موعده","ضمن مدته")))</f>
        <v>لم يحن موعده</v>
      </c>
      <c r="I68" s="42" t="s">
        <v>50</v>
      </c>
      <c r="J68" s="43" t="s">
        <v>35</v>
      </c>
      <c r="K68" s="43" t="s">
        <v>195</v>
      </c>
      <c r="L68" s="44" t="n">
        <f aca="true">IF(F68&gt;=100,"—",INT(D68)-TODAY())</f>
        <v>111</v>
      </c>
      <c r="M68" s="45" t="s">
        <v>214</v>
      </c>
    </row>
    <row r="69" customFormat="false" ht="25.5" hidden="false" customHeight="true" outlineLevel="0" collapsed="false">
      <c r="A69" s="11" t="s">
        <v>215</v>
      </c>
      <c r="B69" s="12" t="s">
        <v>216</v>
      </c>
      <c r="C69" s="13" t="n">
        <f aca="false">MIN(C70,C71,C138,C139,C140)</f>
        <v>46371</v>
      </c>
      <c r="D69" s="13" t="n">
        <f aca="false">MAX(D70,D71,D138,D139,D140)</f>
        <v>46477</v>
      </c>
      <c r="E69" s="14" t="n">
        <f aca="true">IF($I69="معلم",0,SUMPRODUCT((WEEKDAY(ROW(INDIRECT(INT($C69)&amp;":"&amp;INT($D69))),2)&lt;5)+(WEEKDAY(ROW(INDIRECT(INT($C69)&amp;":"&amp;INT($D69))),2)=7)))</f>
        <v>77</v>
      </c>
      <c r="F69" s="15" t="n">
        <f aca="false">ROUND(AVERAGE(F70,F71,F138,F139,F140),0)</f>
        <v>0</v>
      </c>
      <c r="G69" s="16" t="str">
        <f aca="false">IF(F69&gt;=100,"مكتملة",IF(F69&gt;0,"قيد التنفيذ","لم تبدأ"))</f>
        <v>لم تبدأ</v>
      </c>
      <c r="H69" s="16" t="str">
        <f aca="true">IF(F69&gt;=100,"مكتمل",IF(TODAY()&gt;INT(D69),"يستوجب المتابعة",IF(TODAY()&lt;INT(C69),"لم يحن موعده","ضمن مدته")))</f>
        <v>لم يحن موعده</v>
      </c>
      <c r="I69" s="16" t="s">
        <v>30</v>
      </c>
      <c r="J69" s="17" t="s">
        <v>217</v>
      </c>
      <c r="K69" s="17" t="s">
        <v>32</v>
      </c>
      <c r="L69" s="18" t="n">
        <f aca="true">IF(F69&gt;=100,"—",INT(D69)-TODAY())</f>
        <v>217</v>
      </c>
      <c r="M69" s="12"/>
    </row>
    <row r="70" customFormat="false" ht="21.75" hidden="false" customHeight="true" outlineLevel="1" collapsed="false">
      <c r="A70" s="37" t="s">
        <v>218</v>
      </c>
      <c r="B70" s="38" t="s">
        <v>219</v>
      </c>
      <c r="C70" s="39" t="n">
        <f aca="false">$G$3</f>
        <v>46371</v>
      </c>
      <c r="D70" s="39" t="n">
        <f aca="false">$G$3</f>
        <v>46371</v>
      </c>
      <c r="E70" s="40" t="n">
        <f aca="true">IF($I70="معلم",0,SUMPRODUCT((WEEKDAY(ROW(INDIRECT(INT($C70)&amp;":"&amp;INT($D70))),2)&lt;5)+(WEEKDAY(ROW(INDIRECT(INT($C70)&amp;":"&amp;INT($D70))),2)=7)))</f>
        <v>0</v>
      </c>
      <c r="F70" s="41" t="n">
        <v>0</v>
      </c>
      <c r="G70" s="42" t="str">
        <f aca="false">IF(F70&gt;=100,"مكتملة",IF(F70&gt;0,"قيد التنفيذ","لم تبدأ"))</f>
        <v>لم تبدأ</v>
      </c>
      <c r="H70" s="42" t="str">
        <f aca="true">IF(F70&gt;=100,"مكتمل",IF(TODAY()&gt;INT(D70),"يستوجب المتابعة",IF(TODAY()&lt;INT(C70),"لم يحن موعده","ضمن مدته")))</f>
        <v>لم يحن موعده</v>
      </c>
      <c r="I70" s="42" t="s">
        <v>50</v>
      </c>
      <c r="J70" s="43" t="s">
        <v>31</v>
      </c>
      <c r="K70" s="43" t="s">
        <v>32</v>
      </c>
      <c r="L70" s="44" t="n">
        <f aca="true">IF(F70&gt;=100,"—",INT(D70)-TODAY())</f>
        <v>111</v>
      </c>
      <c r="M70" s="45" t="s">
        <v>220</v>
      </c>
    </row>
    <row r="71" customFormat="false" ht="21.75" hidden="false" customHeight="true" outlineLevel="1" collapsed="true">
      <c r="A71" s="19" t="s">
        <v>221</v>
      </c>
      <c r="B71" s="20" t="s">
        <v>222</v>
      </c>
      <c r="C71" s="21" t="n">
        <f aca="false">MIN(C72,C78,C84,C90,C96,C102,C108,C114,C120,C126,C132)</f>
        <v>46371</v>
      </c>
      <c r="D71" s="21" t="n">
        <f aca="false">MAX(D72,D78,D84,D90,D96,D102,D108,D114,D120,D126,D132)</f>
        <v>46412</v>
      </c>
      <c r="E71" s="22" t="n">
        <f aca="true">IF($I71="معلم",0,SUMPRODUCT((WEEKDAY(ROW(INDIRECT(INT($C71)&amp;":"&amp;INT($D71))),2)&lt;5)+(WEEKDAY(ROW(INDIRECT(INT($C71)&amp;":"&amp;INT($D71))),2)=7)))</f>
        <v>30</v>
      </c>
      <c r="F71" s="23" t="n">
        <f aca="false">ROUND(AVERAGE(F72,F78,F84,F90,F96,F102,F108,F114,F120,F126,F132),0)</f>
        <v>0</v>
      </c>
      <c r="G71" s="24" t="str">
        <f aca="false">IF(F71&gt;=100,"مكتملة",IF(F71&gt;0,"قيد التنفيذ","لم تبدأ"))</f>
        <v>لم تبدأ</v>
      </c>
      <c r="H71" s="24" t="str">
        <f aca="true">IF(F71&gt;=100,"مكتمل",IF(TODAY()&gt;INT(D71),"يستوجب المتابعة",IF(TODAY()&lt;INT(C71),"لم يحن موعده","ضمن مدته")))</f>
        <v>لم يحن موعده</v>
      </c>
      <c r="I71" s="24" t="s">
        <v>30</v>
      </c>
      <c r="J71" s="25" t="s">
        <v>217</v>
      </c>
      <c r="K71" s="25" t="s">
        <v>32</v>
      </c>
      <c r="L71" s="26" t="n">
        <f aca="true">IF(F71&gt;=100,"—",INT(D71)-TODAY())</f>
        <v>152</v>
      </c>
      <c r="M71" s="47" t="s">
        <v>223</v>
      </c>
    </row>
    <row r="72" customFormat="false" ht="21.75" hidden="true" customHeight="true" outlineLevel="2" collapsed="true">
      <c r="A72" s="19" t="s">
        <v>224</v>
      </c>
      <c r="B72" s="46" t="s">
        <v>225</v>
      </c>
      <c r="C72" s="21" t="n">
        <f aca="false">MIN(C73,C74,C75,C76,C77)</f>
        <v>46371</v>
      </c>
      <c r="D72" s="21" t="n">
        <f aca="false">MAX(D73,D74,D75,D76,D77)</f>
        <v>46412</v>
      </c>
      <c r="E72" s="22" t="n">
        <f aca="true">IF($I72="معلم",0,SUMPRODUCT((WEEKDAY(ROW(INDIRECT(INT($C72)&amp;":"&amp;INT($D72))),2)&lt;5)+(WEEKDAY(ROW(INDIRECT(INT($C72)&amp;":"&amp;INT($D72))),2)=7)))</f>
        <v>30</v>
      </c>
      <c r="F72" s="23" t="n">
        <f aca="false">ROUND(AVERAGE(F73,F74,F75,F76,F77),0)</f>
        <v>0</v>
      </c>
      <c r="G72" s="24" t="str">
        <f aca="false">IF(F72&gt;=100,"مكتملة",IF(F72&gt;0,"قيد التنفيذ","لم تبدأ"))</f>
        <v>لم تبدأ</v>
      </c>
      <c r="H72" s="24" t="str">
        <f aca="true">IF(F72&gt;=100,"مكتمل",IF(TODAY()&gt;INT(D72),"يستوجب المتابعة",IF(TODAY()&lt;INT(C72),"لم يحن موعده","ضمن مدته")))</f>
        <v>لم يحن موعده</v>
      </c>
      <c r="I72" s="24" t="s">
        <v>30</v>
      </c>
      <c r="J72" s="25" t="s">
        <v>226</v>
      </c>
      <c r="K72" s="25" t="s">
        <v>32</v>
      </c>
      <c r="L72" s="26" t="n">
        <f aca="true">IF(F72&gt;=100,"—",INT(D72)-TODAY())</f>
        <v>152</v>
      </c>
      <c r="M72" s="47" t="s">
        <v>227</v>
      </c>
    </row>
    <row r="73" customFormat="false" ht="21.75" hidden="true" customHeight="true" outlineLevel="3" collapsed="false">
      <c r="A73" s="28" t="s">
        <v>228</v>
      </c>
      <c r="B73" s="48" t="s">
        <v>229</v>
      </c>
      <c r="C73" s="30" t="n">
        <f aca="false">$G$3</f>
        <v>46371</v>
      </c>
      <c r="D73" s="30" t="n">
        <f aca="false">$G$3+7</f>
        <v>46378</v>
      </c>
      <c r="E73" s="31" t="n">
        <f aca="true">IF($I73="معلم",0,SUMPRODUCT((WEEKDAY(ROW(INDIRECT(INT($C73)&amp;":"&amp;INT($D73))),2)&lt;5)+(WEEKDAY(ROW(INDIRECT(INT($C73)&amp;":"&amp;INT($D73))),2)=7)))</f>
        <v>6</v>
      </c>
      <c r="F73" s="32" t="n">
        <v>0</v>
      </c>
      <c r="G73" s="33" t="str">
        <f aca="false">IF(F73&gt;=100,"مكتملة",IF(F73&gt;0,"قيد التنفيذ","لم تبدأ"))</f>
        <v>لم تبدأ</v>
      </c>
      <c r="H73" s="33" t="str">
        <f aca="true">IF(F73&gt;=100,"مكتمل",IF(TODAY()&gt;INT(D73),"يستوجب المتابعة",IF(TODAY()&lt;INT(C73),"لم يحن موعده","ضمن مدته")))</f>
        <v>لم يحن موعده</v>
      </c>
      <c r="I73" s="33" t="s">
        <v>30</v>
      </c>
      <c r="J73" s="34" t="s">
        <v>226</v>
      </c>
      <c r="K73" s="34" t="s">
        <v>32</v>
      </c>
      <c r="L73" s="35" t="n">
        <f aca="true">IF(F73&gt;=100,"—",INT(D73)-TODAY())</f>
        <v>118</v>
      </c>
      <c r="M73" s="36" t="s">
        <v>230</v>
      </c>
    </row>
    <row r="74" customFormat="false" ht="21.75" hidden="true" customHeight="true" outlineLevel="3" collapsed="false">
      <c r="A74" s="28" t="s">
        <v>231</v>
      </c>
      <c r="B74" s="48" t="s">
        <v>232</v>
      </c>
      <c r="C74" s="30" t="n">
        <f aca="false">$G$3+2</f>
        <v>46373</v>
      </c>
      <c r="D74" s="30" t="n">
        <f aca="false">$G$3+9</f>
        <v>46380</v>
      </c>
      <c r="E74" s="31" t="n">
        <f aca="true">IF($I74="معلم",0,SUMPRODUCT((WEEKDAY(ROW(INDIRECT(INT($C74)&amp;":"&amp;INT($D74))),2)&lt;5)+(WEEKDAY(ROW(INDIRECT(INT($C74)&amp;":"&amp;INT($D74))),2)=7)))</f>
        <v>6</v>
      </c>
      <c r="F74" s="32" t="n">
        <v>0</v>
      </c>
      <c r="G74" s="33" t="str">
        <f aca="false">IF(F74&gt;=100,"مكتملة",IF(F74&gt;0,"قيد التنفيذ","لم تبدأ"))</f>
        <v>لم تبدأ</v>
      </c>
      <c r="H74" s="33" t="str">
        <f aca="true">IF(F74&gt;=100,"مكتمل",IF(TODAY()&gt;INT(D74),"يستوجب المتابعة",IF(TODAY()&lt;INT(C74),"لم يحن موعده","ضمن مدته")))</f>
        <v>لم يحن موعده</v>
      </c>
      <c r="I74" s="33" t="s">
        <v>30</v>
      </c>
      <c r="J74" s="34" t="s">
        <v>226</v>
      </c>
      <c r="K74" s="34" t="s">
        <v>32</v>
      </c>
      <c r="L74" s="35" t="n">
        <f aca="true">IF(F74&gt;=100,"—",INT(D74)-TODAY())</f>
        <v>120</v>
      </c>
      <c r="M74" s="36" t="s">
        <v>233</v>
      </c>
    </row>
    <row r="75" customFormat="false" ht="21.75" hidden="true" customHeight="true" outlineLevel="3" collapsed="false">
      <c r="A75" s="28" t="s">
        <v>234</v>
      </c>
      <c r="B75" s="48" t="s">
        <v>235</v>
      </c>
      <c r="C75" s="30" t="n">
        <f aca="false">$G$3+6</f>
        <v>46377</v>
      </c>
      <c r="D75" s="30" t="n">
        <f aca="false">$G$3+35</f>
        <v>46406</v>
      </c>
      <c r="E75" s="31" t="n">
        <f aca="true">IF($I75="معلم",0,SUMPRODUCT((WEEKDAY(ROW(INDIRECT(INT($C75)&amp;":"&amp;INT($D75))),2)&lt;5)+(WEEKDAY(ROW(INDIRECT(INT($C75)&amp;":"&amp;INT($D75))),2)=7)))</f>
        <v>22</v>
      </c>
      <c r="F75" s="32" t="n">
        <v>0</v>
      </c>
      <c r="G75" s="33" t="str">
        <f aca="false">IF(F75&gt;=100,"مكتملة",IF(F75&gt;0,"قيد التنفيذ","لم تبدأ"))</f>
        <v>لم تبدأ</v>
      </c>
      <c r="H75" s="33" t="str">
        <f aca="true">IF(F75&gt;=100,"مكتمل",IF(TODAY()&gt;INT(D75),"يستوجب المتابعة",IF(TODAY()&lt;INT(C75),"لم يحن موعده","ضمن مدته")))</f>
        <v>لم يحن موعده</v>
      </c>
      <c r="I75" s="33" t="s">
        <v>30</v>
      </c>
      <c r="J75" s="34" t="s">
        <v>226</v>
      </c>
      <c r="K75" s="34" t="s">
        <v>32</v>
      </c>
      <c r="L75" s="35" t="n">
        <f aca="true">IF(F75&gt;=100,"—",INT(D75)-TODAY())</f>
        <v>146</v>
      </c>
      <c r="M75" s="36" t="s">
        <v>236</v>
      </c>
    </row>
    <row r="76" customFormat="false" ht="21.75" hidden="true" customHeight="true" outlineLevel="3" collapsed="false">
      <c r="A76" s="28" t="s">
        <v>237</v>
      </c>
      <c r="B76" s="48" t="s">
        <v>238</v>
      </c>
      <c r="C76" s="30" t="n">
        <f aca="false">$G$3+14</f>
        <v>46385</v>
      </c>
      <c r="D76" s="30" t="n">
        <f aca="false">$G$3+40</f>
        <v>46411</v>
      </c>
      <c r="E76" s="31" t="n">
        <f aca="true">IF($I76="معلم",0,SUMPRODUCT((WEEKDAY(ROW(INDIRECT(INT($C76)&amp;":"&amp;INT($D76))),2)&lt;5)+(WEEKDAY(ROW(INDIRECT(INT($C76)&amp;":"&amp;INT($D76))),2)=7)))</f>
        <v>19</v>
      </c>
      <c r="F76" s="32" t="n">
        <v>0</v>
      </c>
      <c r="G76" s="33" t="str">
        <f aca="false">IF(F76&gt;=100,"مكتملة",IF(F76&gt;0,"قيد التنفيذ","لم تبدأ"))</f>
        <v>لم تبدأ</v>
      </c>
      <c r="H76" s="33" t="str">
        <f aca="true">IF(F76&gt;=100,"مكتمل",IF(TODAY()&gt;INT(D76),"يستوجب المتابعة",IF(TODAY()&lt;INT(C76),"لم يحن موعده","ضمن مدته")))</f>
        <v>لم يحن موعده</v>
      </c>
      <c r="I76" s="33" t="s">
        <v>30</v>
      </c>
      <c r="J76" s="34" t="s">
        <v>226</v>
      </c>
      <c r="K76" s="34" t="s">
        <v>32</v>
      </c>
      <c r="L76" s="35" t="n">
        <f aca="true">IF(F76&gt;=100,"—",INT(D76)-TODAY())</f>
        <v>151</v>
      </c>
      <c r="M76" s="36" t="s">
        <v>239</v>
      </c>
    </row>
    <row r="77" customFormat="false" ht="21.75" hidden="true" customHeight="true" outlineLevel="3" collapsed="false">
      <c r="A77" s="28" t="s">
        <v>240</v>
      </c>
      <c r="B77" s="48" t="s">
        <v>241</v>
      </c>
      <c r="C77" s="30" t="n">
        <f aca="false">$G$3+35</f>
        <v>46406</v>
      </c>
      <c r="D77" s="30" t="n">
        <f aca="false">$G$3+41</f>
        <v>46412</v>
      </c>
      <c r="E77" s="31" t="n">
        <f aca="true">IF($I77="معلم",0,SUMPRODUCT((WEEKDAY(ROW(INDIRECT(INT($C77)&amp;":"&amp;INT($D77))),2)&lt;5)+(WEEKDAY(ROW(INDIRECT(INT($C77)&amp;":"&amp;INT($D77))),2)=7)))</f>
        <v>5</v>
      </c>
      <c r="F77" s="32" t="n">
        <v>0</v>
      </c>
      <c r="G77" s="33" t="str">
        <f aca="false">IF(F77&gt;=100,"مكتملة",IF(F77&gt;0,"قيد التنفيذ","لم تبدأ"))</f>
        <v>لم تبدأ</v>
      </c>
      <c r="H77" s="33" t="str">
        <f aca="true">IF(F77&gt;=100,"مكتمل",IF(TODAY()&gt;INT(D77),"يستوجب المتابعة",IF(TODAY()&lt;INT(C77),"لم يحن موعده","ضمن مدته")))</f>
        <v>لم يحن موعده</v>
      </c>
      <c r="I77" s="33" t="s">
        <v>30</v>
      </c>
      <c r="J77" s="34" t="s">
        <v>226</v>
      </c>
      <c r="K77" s="34" t="s">
        <v>32</v>
      </c>
      <c r="L77" s="35" t="n">
        <f aca="true">IF(F77&gt;=100,"—",INT(D77)-TODAY())</f>
        <v>152</v>
      </c>
      <c r="M77" s="36" t="s">
        <v>242</v>
      </c>
    </row>
    <row r="78" customFormat="false" ht="21.75" hidden="true" customHeight="true" outlineLevel="2" collapsed="true">
      <c r="A78" s="19" t="s">
        <v>243</v>
      </c>
      <c r="B78" s="46" t="s">
        <v>244</v>
      </c>
      <c r="C78" s="21" t="n">
        <f aca="false">MIN(C79,C80,C81,C82,C83)</f>
        <v>46371</v>
      </c>
      <c r="D78" s="21" t="n">
        <f aca="false">MAX(D79,D80,D81,D82,D83)</f>
        <v>46412</v>
      </c>
      <c r="E78" s="22" t="n">
        <f aca="true">IF($I78="معلم",0,SUMPRODUCT((WEEKDAY(ROW(INDIRECT(INT($C78)&amp;":"&amp;INT($D78))),2)&lt;5)+(WEEKDAY(ROW(INDIRECT(INT($C78)&amp;":"&amp;INT($D78))),2)=7)))</f>
        <v>30</v>
      </c>
      <c r="F78" s="23" t="n">
        <f aca="false">ROUND(AVERAGE(F79,F80,F81,F82,F83),0)</f>
        <v>0</v>
      </c>
      <c r="G78" s="24" t="str">
        <f aca="false">IF(F78&gt;=100,"مكتملة",IF(F78&gt;0,"قيد التنفيذ","لم تبدأ"))</f>
        <v>لم تبدأ</v>
      </c>
      <c r="H78" s="24" t="str">
        <f aca="true">IF(F78&gt;=100,"مكتمل",IF(TODAY()&gt;INT(D78),"يستوجب المتابعة",IF(TODAY()&lt;INT(C78),"لم يحن موعده","ضمن مدته")))</f>
        <v>لم يحن موعده</v>
      </c>
      <c r="I78" s="24" t="s">
        <v>30</v>
      </c>
      <c r="J78" s="25" t="s">
        <v>245</v>
      </c>
      <c r="K78" s="25" t="s">
        <v>32</v>
      </c>
      <c r="L78" s="26" t="n">
        <f aca="true">IF(F78&gt;=100,"—",INT(D78)-TODAY())</f>
        <v>152</v>
      </c>
      <c r="M78" s="47" t="s">
        <v>227</v>
      </c>
    </row>
    <row r="79" customFormat="false" ht="21.75" hidden="true" customHeight="true" outlineLevel="3" collapsed="false">
      <c r="A79" s="28" t="s">
        <v>246</v>
      </c>
      <c r="B79" s="48" t="s">
        <v>247</v>
      </c>
      <c r="C79" s="30" t="n">
        <f aca="false">$G$3</f>
        <v>46371</v>
      </c>
      <c r="D79" s="30" t="n">
        <f aca="false">$G$3+7</f>
        <v>46378</v>
      </c>
      <c r="E79" s="31" t="n">
        <f aca="true">IF($I79="معلم",0,SUMPRODUCT((WEEKDAY(ROW(INDIRECT(INT($C79)&amp;":"&amp;INT($D79))),2)&lt;5)+(WEEKDAY(ROW(INDIRECT(INT($C79)&amp;":"&amp;INT($D79))),2)=7)))</f>
        <v>6</v>
      </c>
      <c r="F79" s="32" t="n">
        <v>0</v>
      </c>
      <c r="G79" s="33" t="str">
        <f aca="false">IF(F79&gt;=100,"مكتملة",IF(F79&gt;0,"قيد التنفيذ","لم تبدأ"))</f>
        <v>لم تبدأ</v>
      </c>
      <c r="H79" s="33" t="str">
        <f aca="true">IF(F79&gt;=100,"مكتمل",IF(TODAY()&gt;INT(D79),"يستوجب المتابعة",IF(TODAY()&lt;INT(C79),"لم يحن موعده","ضمن مدته")))</f>
        <v>لم يحن موعده</v>
      </c>
      <c r="I79" s="33" t="s">
        <v>30</v>
      </c>
      <c r="J79" s="34" t="s">
        <v>245</v>
      </c>
      <c r="K79" s="34" t="s">
        <v>32</v>
      </c>
      <c r="L79" s="35" t="n">
        <f aca="true">IF(F79&gt;=100,"—",INT(D79)-TODAY())</f>
        <v>118</v>
      </c>
      <c r="M79" s="36" t="s">
        <v>230</v>
      </c>
    </row>
    <row r="80" customFormat="false" ht="21.75" hidden="true" customHeight="true" outlineLevel="3" collapsed="false">
      <c r="A80" s="28" t="s">
        <v>248</v>
      </c>
      <c r="B80" s="48" t="s">
        <v>249</v>
      </c>
      <c r="C80" s="30" t="n">
        <f aca="false">$G$3+2</f>
        <v>46373</v>
      </c>
      <c r="D80" s="30" t="n">
        <f aca="false">$G$3+9</f>
        <v>46380</v>
      </c>
      <c r="E80" s="31" t="n">
        <f aca="true">IF($I80="معلم",0,SUMPRODUCT((WEEKDAY(ROW(INDIRECT(INT($C80)&amp;":"&amp;INT($D80))),2)&lt;5)+(WEEKDAY(ROW(INDIRECT(INT($C80)&amp;":"&amp;INT($D80))),2)=7)))</f>
        <v>6</v>
      </c>
      <c r="F80" s="32" t="n">
        <v>0</v>
      </c>
      <c r="G80" s="33" t="str">
        <f aca="false">IF(F80&gt;=100,"مكتملة",IF(F80&gt;0,"قيد التنفيذ","لم تبدأ"))</f>
        <v>لم تبدأ</v>
      </c>
      <c r="H80" s="33" t="str">
        <f aca="true">IF(F80&gt;=100,"مكتمل",IF(TODAY()&gt;INT(D80),"يستوجب المتابعة",IF(TODAY()&lt;INT(C80),"لم يحن موعده","ضمن مدته")))</f>
        <v>لم يحن موعده</v>
      </c>
      <c r="I80" s="33" t="s">
        <v>30</v>
      </c>
      <c r="J80" s="34" t="s">
        <v>245</v>
      </c>
      <c r="K80" s="34" t="s">
        <v>32</v>
      </c>
      <c r="L80" s="35" t="n">
        <f aca="true">IF(F80&gt;=100,"—",INT(D80)-TODAY())</f>
        <v>120</v>
      </c>
      <c r="M80" s="36" t="s">
        <v>233</v>
      </c>
    </row>
    <row r="81" customFormat="false" ht="21.75" hidden="true" customHeight="true" outlineLevel="3" collapsed="false">
      <c r="A81" s="28" t="s">
        <v>250</v>
      </c>
      <c r="B81" s="48" t="s">
        <v>251</v>
      </c>
      <c r="C81" s="30" t="n">
        <f aca="false">$G$3+6</f>
        <v>46377</v>
      </c>
      <c r="D81" s="30" t="n">
        <f aca="false">$G$3+35</f>
        <v>46406</v>
      </c>
      <c r="E81" s="31" t="n">
        <f aca="true">IF($I81="معلم",0,SUMPRODUCT((WEEKDAY(ROW(INDIRECT(INT($C81)&amp;":"&amp;INT($D81))),2)&lt;5)+(WEEKDAY(ROW(INDIRECT(INT($C81)&amp;":"&amp;INT($D81))),2)=7)))</f>
        <v>22</v>
      </c>
      <c r="F81" s="32" t="n">
        <v>0</v>
      </c>
      <c r="G81" s="33" t="str">
        <f aca="false">IF(F81&gt;=100,"مكتملة",IF(F81&gt;0,"قيد التنفيذ","لم تبدأ"))</f>
        <v>لم تبدأ</v>
      </c>
      <c r="H81" s="33" t="str">
        <f aca="true">IF(F81&gt;=100,"مكتمل",IF(TODAY()&gt;INT(D81),"يستوجب المتابعة",IF(TODAY()&lt;INT(C81),"لم يحن موعده","ضمن مدته")))</f>
        <v>لم يحن موعده</v>
      </c>
      <c r="I81" s="33" t="s">
        <v>30</v>
      </c>
      <c r="J81" s="34" t="s">
        <v>245</v>
      </c>
      <c r="K81" s="34" t="s">
        <v>32</v>
      </c>
      <c r="L81" s="35" t="n">
        <f aca="true">IF(F81&gt;=100,"—",INT(D81)-TODAY())</f>
        <v>146</v>
      </c>
      <c r="M81" s="36" t="s">
        <v>236</v>
      </c>
    </row>
    <row r="82" customFormat="false" ht="21.75" hidden="true" customHeight="true" outlineLevel="3" collapsed="false">
      <c r="A82" s="28" t="s">
        <v>252</v>
      </c>
      <c r="B82" s="48" t="s">
        <v>253</v>
      </c>
      <c r="C82" s="30" t="n">
        <f aca="false">$G$3+14</f>
        <v>46385</v>
      </c>
      <c r="D82" s="30" t="n">
        <f aca="false">$G$3+40</f>
        <v>46411</v>
      </c>
      <c r="E82" s="31" t="n">
        <f aca="true">IF($I82="معلم",0,SUMPRODUCT((WEEKDAY(ROW(INDIRECT(INT($C82)&amp;":"&amp;INT($D82))),2)&lt;5)+(WEEKDAY(ROW(INDIRECT(INT($C82)&amp;":"&amp;INT($D82))),2)=7)))</f>
        <v>19</v>
      </c>
      <c r="F82" s="32" t="n">
        <v>0</v>
      </c>
      <c r="G82" s="33" t="str">
        <f aca="false">IF(F82&gt;=100,"مكتملة",IF(F82&gt;0,"قيد التنفيذ","لم تبدأ"))</f>
        <v>لم تبدأ</v>
      </c>
      <c r="H82" s="33" t="str">
        <f aca="true">IF(F82&gt;=100,"مكتمل",IF(TODAY()&gt;INT(D82),"يستوجب المتابعة",IF(TODAY()&lt;INT(C82),"لم يحن موعده","ضمن مدته")))</f>
        <v>لم يحن موعده</v>
      </c>
      <c r="I82" s="33" t="s">
        <v>30</v>
      </c>
      <c r="J82" s="34" t="s">
        <v>245</v>
      </c>
      <c r="K82" s="34" t="s">
        <v>32</v>
      </c>
      <c r="L82" s="35" t="n">
        <f aca="true">IF(F82&gt;=100,"—",INT(D82)-TODAY())</f>
        <v>151</v>
      </c>
      <c r="M82" s="36" t="s">
        <v>239</v>
      </c>
    </row>
    <row r="83" customFormat="false" ht="21.75" hidden="true" customHeight="true" outlineLevel="3" collapsed="false">
      <c r="A83" s="28" t="s">
        <v>254</v>
      </c>
      <c r="B83" s="48" t="s">
        <v>255</v>
      </c>
      <c r="C83" s="30" t="n">
        <f aca="false">$G$3+35</f>
        <v>46406</v>
      </c>
      <c r="D83" s="30" t="n">
        <f aca="false">$G$3+41</f>
        <v>46412</v>
      </c>
      <c r="E83" s="31" t="n">
        <f aca="true">IF($I83="معلم",0,SUMPRODUCT((WEEKDAY(ROW(INDIRECT(INT($C83)&amp;":"&amp;INT($D83))),2)&lt;5)+(WEEKDAY(ROW(INDIRECT(INT($C83)&amp;":"&amp;INT($D83))),2)=7)))</f>
        <v>5</v>
      </c>
      <c r="F83" s="32" t="n">
        <v>0</v>
      </c>
      <c r="G83" s="33" t="str">
        <f aca="false">IF(F83&gt;=100,"مكتملة",IF(F83&gt;0,"قيد التنفيذ","لم تبدأ"))</f>
        <v>لم تبدأ</v>
      </c>
      <c r="H83" s="33" t="str">
        <f aca="true">IF(F83&gt;=100,"مكتمل",IF(TODAY()&gt;INT(D83),"يستوجب المتابعة",IF(TODAY()&lt;INT(C83),"لم يحن موعده","ضمن مدته")))</f>
        <v>لم يحن موعده</v>
      </c>
      <c r="I83" s="33" t="s">
        <v>30</v>
      </c>
      <c r="J83" s="34" t="s">
        <v>245</v>
      </c>
      <c r="K83" s="34" t="s">
        <v>32</v>
      </c>
      <c r="L83" s="35" t="n">
        <f aca="true">IF(F83&gt;=100,"—",INT(D83)-TODAY())</f>
        <v>152</v>
      </c>
      <c r="M83" s="36" t="s">
        <v>242</v>
      </c>
    </row>
    <row r="84" customFormat="false" ht="21.75" hidden="true" customHeight="true" outlineLevel="2" collapsed="true">
      <c r="A84" s="19" t="s">
        <v>256</v>
      </c>
      <c r="B84" s="46" t="s">
        <v>257</v>
      </c>
      <c r="C84" s="21" t="n">
        <f aca="false">MIN(C85,C86,C87,C88,C89)</f>
        <v>46371</v>
      </c>
      <c r="D84" s="21" t="n">
        <f aca="false">MAX(D85,D86,D87,D88,D89)</f>
        <v>46411</v>
      </c>
      <c r="E84" s="22" t="n">
        <f aca="true">IF($I84="معلم",0,SUMPRODUCT((WEEKDAY(ROW(INDIRECT(INT($C84)&amp;":"&amp;INT($D84))),2)&lt;5)+(WEEKDAY(ROW(INDIRECT(INT($C84)&amp;":"&amp;INT($D84))),2)=7)))</f>
        <v>29</v>
      </c>
      <c r="F84" s="23" t="n">
        <f aca="false">ROUND(AVERAGE(F85,F86,F87,F88,F89),0)</f>
        <v>0</v>
      </c>
      <c r="G84" s="24" t="str">
        <f aca="false">IF(F84&gt;=100,"مكتملة",IF(F84&gt;0,"قيد التنفيذ","لم تبدأ"))</f>
        <v>لم تبدأ</v>
      </c>
      <c r="H84" s="24" t="str">
        <f aca="true">IF(F84&gt;=100,"مكتمل",IF(TODAY()&gt;INT(D84),"يستوجب المتابعة",IF(TODAY()&lt;INT(C84),"لم يحن موعده","ضمن مدته")))</f>
        <v>لم يحن موعده</v>
      </c>
      <c r="I84" s="24" t="s">
        <v>30</v>
      </c>
      <c r="J84" s="25" t="s">
        <v>258</v>
      </c>
      <c r="K84" s="25" t="s">
        <v>32</v>
      </c>
      <c r="L84" s="26" t="n">
        <f aca="true">IF(F84&gt;=100,"—",INT(D84)-TODAY())</f>
        <v>151</v>
      </c>
      <c r="M84" s="47" t="s">
        <v>259</v>
      </c>
    </row>
    <row r="85" customFormat="false" ht="21.75" hidden="true" customHeight="true" outlineLevel="3" collapsed="false">
      <c r="A85" s="28" t="s">
        <v>260</v>
      </c>
      <c r="B85" s="48" t="s">
        <v>261</v>
      </c>
      <c r="C85" s="30" t="n">
        <f aca="false">$G$3</f>
        <v>46371</v>
      </c>
      <c r="D85" s="30" t="n">
        <f aca="false">$G$3+7</f>
        <v>46378</v>
      </c>
      <c r="E85" s="31" t="n">
        <f aca="true">IF($I85="معلم",0,SUMPRODUCT((WEEKDAY(ROW(INDIRECT(INT($C85)&amp;":"&amp;INT($D85))),2)&lt;5)+(WEEKDAY(ROW(INDIRECT(INT($C85)&amp;":"&amp;INT($D85))),2)=7)))</f>
        <v>6</v>
      </c>
      <c r="F85" s="32" t="n">
        <v>0</v>
      </c>
      <c r="G85" s="33" t="str">
        <f aca="false">IF(F85&gt;=100,"مكتملة",IF(F85&gt;0,"قيد التنفيذ","لم تبدأ"))</f>
        <v>لم تبدأ</v>
      </c>
      <c r="H85" s="33" t="str">
        <f aca="true">IF(F85&gt;=100,"مكتمل",IF(TODAY()&gt;INT(D85),"يستوجب المتابعة",IF(TODAY()&lt;INT(C85),"لم يحن موعده","ضمن مدته")))</f>
        <v>لم يحن موعده</v>
      </c>
      <c r="I85" s="33" t="s">
        <v>30</v>
      </c>
      <c r="J85" s="34" t="s">
        <v>258</v>
      </c>
      <c r="K85" s="34" t="s">
        <v>32</v>
      </c>
      <c r="L85" s="35" t="n">
        <f aca="true">IF(F85&gt;=100,"—",INT(D85)-TODAY())</f>
        <v>118</v>
      </c>
      <c r="M85" s="36" t="s">
        <v>230</v>
      </c>
    </row>
    <row r="86" customFormat="false" ht="21.75" hidden="true" customHeight="true" outlineLevel="3" collapsed="false">
      <c r="A86" s="28" t="s">
        <v>262</v>
      </c>
      <c r="B86" s="48" t="s">
        <v>263</v>
      </c>
      <c r="C86" s="30" t="n">
        <f aca="false">$G$3+2</f>
        <v>46373</v>
      </c>
      <c r="D86" s="30" t="n">
        <f aca="false">$G$3+9</f>
        <v>46380</v>
      </c>
      <c r="E86" s="31" t="n">
        <f aca="true">IF($I86="معلم",0,SUMPRODUCT((WEEKDAY(ROW(INDIRECT(INT($C86)&amp;":"&amp;INT($D86))),2)&lt;5)+(WEEKDAY(ROW(INDIRECT(INT($C86)&amp;":"&amp;INT($D86))),2)=7)))</f>
        <v>6</v>
      </c>
      <c r="F86" s="32" t="n">
        <v>0</v>
      </c>
      <c r="G86" s="33" t="str">
        <f aca="false">IF(F86&gt;=100,"مكتملة",IF(F86&gt;0,"قيد التنفيذ","لم تبدأ"))</f>
        <v>لم تبدأ</v>
      </c>
      <c r="H86" s="33" t="str">
        <f aca="true">IF(F86&gt;=100,"مكتمل",IF(TODAY()&gt;INT(D86),"يستوجب المتابعة",IF(TODAY()&lt;INT(C86),"لم يحن موعده","ضمن مدته")))</f>
        <v>لم يحن موعده</v>
      </c>
      <c r="I86" s="33" t="s">
        <v>30</v>
      </c>
      <c r="J86" s="34" t="s">
        <v>258</v>
      </c>
      <c r="K86" s="34" t="s">
        <v>32</v>
      </c>
      <c r="L86" s="35" t="n">
        <f aca="true">IF(F86&gt;=100,"—",INT(D86)-TODAY())</f>
        <v>120</v>
      </c>
      <c r="M86" s="36" t="s">
        <v>233</v>
      </c>
    </row>
    <row r="87" customFormat="false" ht="21.75" hidden="true" customHeight="true" outlineLevel="3" collapsed="false">
      <c r="A87" s="28" t="s">
        <v>264</v>
      </c>
      <c r="B87" s="48" t="s">
        <v>265</v>
      </c>
      <c r="C87" s="30" t="n">
        <f aca="false">$G$3+6</f>
        <v>46377</v>
      </c>
      <c r="D87" s="30" t="n">
        <f aca="false">$G$3+34</f>
        <v>46405</v>
      </c>
      <c r="E87" s="31" t="n">
        <f aca="true">IF($I87="معلم",0,SUMPRODUCT((WEEKDAY(ROW(INDIRECT(INT($C87)&amp;":"&amp;INT($D87))),2)&lt;5)+(WEEKDAY(ROW(INDIRECT(INT($C87)&amp;":"&amp;INT($D87))),2)=7)))</f>
        <v>21</v>
      </c>
      <c r="F87" s="32" t="n">
        <v>0</v>
      </c>
      <c r="G87" s="33" t="str">
        <f aca="false">IF(F87&gt;=100,"مكتملة",IF(F87&gt;0,"قيد التنفيذ","لم تبدأ"))</f>
        <v>لم تبدأ</v>
      </c>
      <c r="H87" s="33" t="str">
        <f aca="true">IF(F87&gt;=100,"مكتمل",IF(TODAY()&gt;INT(D87),"يستوجب المتابعة",IF(TODAY()&lt;INT(C87),"لم يحن موعده","ضمن مدته")))</f>
        <v>لم يحن موعده</v>
      </c>
      <c r="I87" s="33" t="s">
        <v>30</v>
      </c>
      <c r="J87" s="34" t="s">
        <v>258</v>
      </c>
      <c r="K87" s="34" t="s">
        <v>32</v>
      </c>
      <c r="L87" s="35" t="n">
        <f aca="true">IF(F87&gt;=100,"—",INT(D87)-TODAY())</f>
        <v>145</v>
      </c>
      <c r="M87" s="36" t="s">
        <v>236</v>
      </c>
    </row>
    <row r="88" customFormat="false" ht="21.75" hidden="true" customHeight="true" outlineLevel="3" collapsed="false">
      <c r="A88" s="28" t="s">
        <v>266</v>
      </c>
      <c r="B88" s="48" t="s">
        <v>267</v>
      </c>
      <c r="C88" s="30" t="n">
        <f aca="false">$G$3+14</f>
        <v>46385</v>
      </c>
      <c r="D88" s="30" t="n">
        <f aca="false">$G$3+37</f>
        <v>46408</v>
      </c>
      <c r="E88" s="31" t="n">
        <f aca="true">IF($I88="معلم",0,SUMPRODUCT((WEEKDAY(ROW(INDIRECT(INT($C88)&amp;":"&amp;INT($D88))),2)&lt;5)+(WEEKDAY(ROW(INDIRECT(INT($C88)&amp;":"&amp;INT($D88))),2)=7)))</f>
        <v>18</v>
      </c>
      <c r="F88" s="32" t="n">
        <v>0</v>
      </c>
      <c r="G88" s="33" t="str">
        <f aca="false">IF(F88&gt;=100,"مكتملة",IF(F88&gt;0,"قيد التنفيذ","لم تبدأ"))</f>
        <v>لم تبدأ</v>
      </c>
      <c r="H88" s="33" t="str">
        <f aca="true">IF(F88&gt;=100,"مكتمل",IF(TODAY()&gt;INT(D88),"يستوجب المتابعة",IF(TODAY()&lt;INT(C88),"لم يحن موعده","ضمن مدته")))</f>
        <v>لم يحن موعده</v>
      </c>
      <c r="I88" s="33" t="s">
        <v>30</v>
      </c>
      <c r="J88" s="34" t="s">
        <v>258</v>
      </c>
      <c r="K88" s="34" t="s">
        <v>32</v>
      </c>
      <c r="L88" s="35" t="n">
        <f aca="true">IF(F88&gt;=100,"—",INT(D88)-TODAY())</f>
        <v>148</v>
      </c>
      <c r="M88" s="36" t="s">
        <v>239</v>
      </c>
    </row>
    <row r="89" customFormat="false" ht="21.75" hidden="true" customHeight="true" outlineLevel="3" collapsed="false">
      <c r="A89" s="28" t="s">
        <v>268</v>
      </c>
      <c r="B89" s="48" t="s">
        <v>269</v>
      </c>
      <c r="C89" s="30" t="n">
        <f aca="false">$G$3+34</f>
        <v>46405</v>
      </c>
      <c r="D89" s="30" t="n">
        <f aca="false">$G$3+40</f>
        <v>46411</v>
      </c>
      <c r="E89" s="31" t="n">
        <f aca="true">IF($I89="معلم",0,SUMPRODUCT((WEEKDAY(ROW(INDIRECT(INT($C89)&amp;":"&amp;INT($D89))),2)&lt;5)+(WEEKDAY(ROW(INDIRECT(INT($C89)&amp;":"&amp;INT($D89))),2)=7)))</f>
        <v>5</v>
      </c>
      <c r="F89" s="32" t="n">
        <v>0</v>
      </c>
      <c r="G89" s="33" t="str">
        <f aca="false">IF(F89&gt;=100,"مكتملة",IF(F89&gt;0,"قيد التنفيذ","لم تبدأ"))</f>
        <v>لم تبدأ</v>
      </c>
      <c r="H89" s="33" t="str">
        <f aca="true">IF(F89&gt;=100,"مكتمل",IF(TODAY()&gt;INT(D89),"يستوجب المتابعة",IF(TODAY()&lt;INT(C89),"لم يحن موعده","ضمن مدته")))</f>
        <v>لم يحن موعده</v>
      </c>
      <c r="I89" s="33" t="s">
        <v>30</v>
      </c>
      <c r="J89" s="34" t="s">
        <v>258</v>
      </c>
      <c r="K89" s="34" t="s">
        <v>32</v>
      </c>
      <c r="L89" s="35" t="n">
        <f aca="true">IF(F89&gt;=100,"—",INT(D89)-TODAY())</f>
        <v>151</v>
      </c>
      <c r="M89" s="36" t="s">
        <v>242</v>
      </c>
    </row>
    <row r="90" customFormat="false" ht="21.75" hidden="true" customHeight="true" outlineLevel="2" collapsed="true">
      <c r="A90" s="19" t="s">
        <v>270</v>
      </c>
      <c r="B90" s="46" t="s">
        <v>271</v>
      </c>
      <c r="C90" s="21" t="n">
        <f aca="false">MIN(C91,C92,C93,C94,C95)</f>
        <v>46371</v>
      </c>
      <c r="D90" s="21" t="n">
        <f aca="false">MAX(D91,D92,D93,D94,D95)</f>
        <v>46401</v>
      </c>
      <c r="E90" s="22" t="n">
        <f aca="true">IF($I90="معلم",0,SUMPRODUCT((WEEKDAY(ROW(INDIRECT(INT($C90)&amp;":"&amp;INT($D90))),2)&lt;5)+(WEEKDAY(ROW(INDIRECT(INT($C90)&amp;":"&amp;INT($D90))),2)=7)))</f>
        <v>23</v>
      </c>
      <c r="F90" s="23" t="n">
        <f aca="false">ROUND(AVERAGE(F91,F92,F93,F94,F95),0)</f>
        <v>0</v>
      </c>
      <c r="G90" s="24" t="str">
        <f aca="false">IF(F90&gt;=100,"مكتملة",IF(F90&gt;0,"قيد التنفيذ","لم تبدأ"))</f>
        <v>لم تبدأ</v>
      </c>
      <c r="H90" s="24" t="str">
        <f aca="true">IF(F90&gt;=100,"مكتمل",IF(TODAY()&gt;INT(D90),"يستوجب المتابعة",IF(TODAY()&lt;INT(C90),"لم يحن موعده","ضمن مدته")))</f>
        <v>لم يحن موعده</v>
      </c>
      <c r="I90" s="24" t="s">
        <v>30</v>
      </c>
      <c r="J90" s="25" t="s">
        <v>272</v>
      </c>
      <c r="K90" s="25" t="s">
        <v>32</v>
      </c>
      <c r="L90" s="26" t="n">
        <f aca="true">IF(F90&gt;=100,"—",INT(D90)-TODAY())</f>
        <v>141</v>
      </c>
      <c r="M90" s="47" t="s">
        <v>259</v>
      </c>
    </row>
    <row r="91" customFormat="false" ht="21.75" hidden="true" customHeight="true" outlineLevel="3" collapsed="false">
      <c r="A91" s="28" t="s">
        <v>273</v>
      </c>
      <c r="B91" s="48" t="s">
        <v>274</v>
      </c>
      <c r="C91" s="30" t="n">
        <f aca="false">$G$3</f>
        <v>46371</v>
      </c>
      <c r="D91" s="30" t="n">
        <f aca="false">$G$3+6</f>
        <v>46377</v>
      </c>
      <c r="E91" s="31" t="n">
        <f aca="true">IF($I91="معلم",0,SUMPRODUCT((WEEKDAY(ROW(INDIRECT(INT($C91)&amp;":"&amp;INT($D91))),2)&lt;5)+(WEEKDAY(ROW(INDIRECT(INT($C91)&amp;":"&amp;INT($D91))),2)=7)))</f>
        <v>5</v>
      </c>
      <c r="F91" s="32" t="n">
        <v>0</v>
      </c>
      <c r="G91" s="33" t="str">
        <f aca="false">IF(F91&gt;=100,"مكتملة",IF(F91&gt;0,"قيد التنفيذ","لم تبدأ"))</f>
        <v>لم تبدأ</v>
      </c>
      <c r="H91" s="33" t="str">
        <f aca="true">IF(F91&gt;=100,"مكتمل",IF(TODAY()&gt;INT(D91),"يستوجب المتابعة",IF(TODAY()&lt;INT(C91),"لم يحن موعده","ضمن مدته")))</f>
        <v>لم يحن موعده</v>
      </c>
      <c r="I91" s="33" t="s">
        <v>30</v>
      </c>
      <c r="J91" s="34" t="s">
        <v>272</v>
      </c>
      <c r="K91" s="34" t="s">
        <v>32</v>
      </c>
      <c r="L91" s="35" t="n">
        <f aca="true">IF(F91&gt;=100,"—",INT(D91)-TODAY())</f>
        <v>117</v>
      </c>
      <c r="M91" s="36" t="s">
        <v>230</v>
      </c>
    </row>
    <row r="92" customFormat="false" ht="21.75" hidden="true" customHeight="true" outlineLevel="3" collapsed="false">
      <c r="A92" s="28" t="s">
        <v>275</v>
      </c>
      <c r="B92" s="48" t="s">
        <v>276</v>
      </c>
      <c r="C92" s="30" t="n">
        <f aca="false">$G$3+2</f>
        <v>46373</v>
      </c>
      <c r="D92" s="30" t="n">
        <f aca="false">$G$3+7</f>
        <v>46378</v>
      </c>
      <c r="E92" s="31" t="n">
        <f aca="true">IF($I92="معلم",0,SUMPRODUCT((WEEKDAY(ROW(INDIRECT(INT($C92)&amp;":"&amp;INT($D92))),2)&lt;5)+(WEEKDAY(ROW(INDIRECT(INT($C92)&amp;":"&amp;INT($D92))),2)=7)))</f>
        <v>4</v>
      </c>
      <c r="F92" s="32" t="n">
        <v>0</v>
      </c>
      <c r="G92" s="33" t="str">
        <f aca="false">IF(F92&gt;=100,"مكتملة",IF(F92&gt;0,"قيد التنفيذ","لم تبدأ"))</f>
        <v>لم تبدأ</v>
      </c>
      <c r="H92" s="33" t="str">
        <f aca="true">IF(F92&gt;=100,"مكتمل",IF(TODAY()&gt;INT(D92),"يستوجب المتابعة",IF(TODAY()&lt;INT(C92),"لم يحن موعده","ضمن مدته")))</f>
        <v>لم يحن موعده</v>
      </c>
      <c r="I92" s="33" t="s">
        <v>30</v>
      </c>
      <c r="J92" s="34" t="s">
        <v>272</v>
      </c>
      <c r="K92" s="34" t="s">
        <v>32</v>
      </c>
      <c r="L92" s="35" t="n">
        <f aca="true">IF(F92&gt;=100,"—",INT(D92)-TODAY())</f>
        <v>118</v>
      </c>
      <c r="M92" s="36" t="s">
        <v>233</v>
      </c>
    </row>
    <row r="93" customFormat="false" ht="21.75" hidden="true" customHeight="true" outlineLevel="3" collapsed="false">
      <c r="A93" s="28" t="s">
        <v>277</v>
      </c>
      <c r="B93" s="48" t="s">
        <v>278</v>
      </c>
      <c r="C93" s="30" t="n">
        <f aca="false">$G$3+5</f>
        <v>46376</v>
      </c>
      <c r="D93" s="30" t="n">
        <f aca="false">$G$3+27</f>
        <v>46398</v>
      </c>
      <c r="E93" s="31" t="n">
        <f aca="true">IF($I93="معلم",0,SUMPRODUCT((WEEKDAY(ROW(INDIRECT(INT($C93)&amp;":"&amp;INT($D93))),2)&lt;5)+(WEEKDAY(ROW(INDIRECT(INT($C93)&amp;":"&amp;INT($D93))),2)=7)))</f>
        <v>17</v>
      </c>
      <c r="F93" s="32" t="n">
        <v>0</v>
      </c>
      <c r="G93" s="33" t="str">
        <f aca="false">IF(F93&gt;=100,"مكتملة",IF(F93&gt;0,"قيد التنفيذ","لم تبدأ"))</f>
        <v>لم تبدأ</v>
      </c>
      <c r="H93" s="33" t="str">
        <f aca="true">IF(F93&gt;=100,"مكتمل",IF(TODAY()&gt;INT(D93),"يستوجب المتابعة",IF(TODAY()&lt;INT(C93),"لم يحن موعده","ضمن مدته")))</f>
        <v>لم يحن موعده</v>
      </c>
      <c r="I93" s="33" t="s">
        <v>30</v>
      </c>
      <c r="J93" s="34" t="s">
        <v>272</v>
      </c>
      <c r="K93" s="34" t="s">
        <v>32</v>
      </c>
      <c r="L93" s="35" t="n">
        <f aca="true">IF(F93&gt;=100,"—",INT(D93)-TODAY())</f>
        <v>138</v>
      </c>
      <c r="M93" s="36" t="s">
        <v>236</v>
      </c>
    </row>
    <row r="94" customFormat="false" ht="21.75" hidden="true" customHeight="true" outlineLevel="3" collapsed="false">
      <c r="A94" s="28" t="s">
        <v>279</v>
      </c>
      <c r="B94" s="48" t="s">
        <v>280</v>
      </c>
      <c r="C94" s="30" t="n">
        <f aca="false">$G$3+12</f>
        <v>46383</v>
      </c>
      <c r="D94" s="30" t="n">
        <f aca="false">$G$3+29</f>
        <v>46400</v>
      </c>
      <c r="E94" s="31" t="n">
        <f aca="true">IF($I94="معلم",0,SUMPRODUCT((WEEKDAY(ROW(INDIRECT(INT($C94)&amp;":"&amp;INT($D94))),2)&lt;5)+(WEEKDAY(ROW(INDIRECT(INT($C94)&amp;":"&amp;INT($D94))),2)=7)))</f>
        <v>14</v>
      </c>
      <c r="F94" s="32" t="n">
        <v>0</v>
      </c>
      <c r="G94" s="33" t="str">
        <f aca="false">IF(F94&gt;=100,"مكتملة",IF(F94&gt;0,"قيد التنفيذ","لم تبدأ"))</f>
        <v>لم تبدأ</v>
      </c>
      <c r="H94" s="33" t="str">
        <f aca="true">IF(F94&gt;=100,"مكتمل",IF(TODAY()&gt;INT(D94),"يستوجب المتابعة",IF(TODAY()&lt;INT(C94),"لم يحن موعده","ضمن مدته")))</f>
        <v>لم يحن موعده</v>
      </c>
      <c r="I94" s="33" t="s">
        <v>30</v>
      </c>
      <c r="J94" s="34" t="s">
        <v>272</v>
      </c>
      <c r="K94" s="34" t="s">
        <v>32</v>
      </c>
      <c r="L94" s="35" t="n">
        <f aca="true">IF(F94&gt;=100,"—",INT(D94)-TODAY())</f>
        <v>140</v>
      </c>
      <c r="M94" s="36" t="s">
        <v>239</v>
      </c>
    </row>
    <row r="95" customFormat="false" ht="21.75" hidden="true" customHeight="true" outlineLevel="3" collapsed="false">
      <c r="A95" s="28" t="s">
        <v>281</v>
      </c>
      <c r="B95" s="48" t="s">
        <v>282</v>
      </c>
      <c r="C95" s="30" t="n">
        <f aca="false">$G$3+27</f>
        <v>46398</v>
      </c>
      <c r="D95" s="30" t="n">
        <f aca="false">$G$3+30</f>
        <v>46401</v>
      </c>
      <c r="E95" s="31" t="n">
        <f aca="true">IF($I95="معلم",0,SUMPRODUCT((WEEKDAY(ROW(INDIRECT(INT($C95)&amp;":"&amp;INT($D95))),2)&lt;5)+(WEEKDAY(ROW(INDIRECT(INT($C95)&amp;":"&amp;INT($D95))),2)=7)))</f>
        <v>4</v>
      </c>
      <c r="F95" s="32" t="n">
        <v>0</v>
      </c>
      <c r="G95" s="33" t="str">
        <f aca="false">IF(F95&gt;=100,"مكتملة",IF(F95&gt;0,"قيد التنفيذ","لم تبدأ"))</f>
        <v>لم تبدأ</v>
      </c>
      <c r="H95" s="33" t="str">
        <f aca="true">IF(F95&gt;=100,"مكتمل",IF(TODAY()&gt;INT(D95),"يستوجب المتابعة",IF(TODAY()&lt;INT(C95),"لم يحن موعده","ضمن مدته")))</f>
        <v>لم يحن موعده</v>
      </c>
      <c r="I95" s="33" t="s">
        <v>30</v>
      </c>
      <c r="J95" s="34" t="s">
        <v>272</v>
      </c>
      <c r="K95" s="34" t="s">
        <v>32</v>
      </c>
      <c r="L95" s="35" t="n">
        <f aca="true">IF(F95&gt;=100,"—",INT(D95)-TODAY())</f>
        <v>141</v>
      </c>
      <c r="M95" s="36" t="s">
        <v>242</v>
      </c>
    </row>
    <row r="96" customFormat="false" ht="21.75" hidden="true" customHeight="true" outlineLevel="2" collapsed="true">
      <c r="A96" s="19" t="s">
        <v>283</v>
      </c>
      <c r="B96" s="46" t="s">
        <v>284</v>
      </c>
      <c r="C96" s="21" t="n">
        <f aca="false">MIN(C97,C98,C99,C100,C101)</f>
        <v>46371</v>
      </c>
      <c r="D96" s="21" t="n">
        <f aca="false">MAX(D97,D98,D99,D100,D101)</f>
        <v>46401</v>
      </c>
      <c r="E96" s="22" t="n">
        <f aca="true">IF($I96="معلم",0,SUMPRODUCT((WEEKDAY(ROW(INDIRECT(INT($C96)&amp;":"&amp;INT($D96))),2)&lt;5)+(WEEKDAY(ROW(INDIRECT(INT($C96)&amp;":"&amp;INT($D96))),2)=7)))</f>
        <v>23</v>
      </c>
      <c r="F96" s="23" t="n">
        <f aca="false">ROUND(AVERAGE(F97,F98,F99,F100,F101),0)</f>
        <v>0</v>
      </c>
      <c r="G96" s="24" t="str">
        <f aca="false">IF(F96&gt;=100,"مكتملة",IF(F96&gt;0,"قيد التنفيذ","لم تبدأ"))</f>
        <v>لم تبدأ</v>
      </c>
      <c r="H96" s="24" t="str">
        <f aca="true">IF(F96&gt;=100,"مكتمل",IF(TODAY()&gt;INT(D96),"يستوجب المتابعة",IF(TODAY()&lt;INT(C96),"لم يحن موعده","ضمن مدته")))</f>
        <v>لم يحن موعده</v>
      </c>
      <c r="I96" s="24" t="s">
        <v>30</v>
      </c>
      <c r="J96" s="25" t="s">
        <v>285</v>
      </c>
      <c r="K96" s="25" t="s">
        <v>32</v>
      </c>
      <c r="L96" s="26" t="n">
        <f aca="true">IF(F96&gt;=100,"—",INT(D96)-TODAY())</f>
        <v>141</v>
      </c>
      <c r="M96" s="47" t="s">
        <v>286</v>
      </c>
    </row>
    <row r="97" customFormat="false" ht="21.75" hidden="true" customHeight="true" outlineLevel="3" collapsed="false">
      <c r="A97" s="28" t="s">
        <v>287</v>
      </c>
      <c r="B97" s="48" t="s">
        <v>288</v>
      </c>
      <c r="C97" s="30" t="n">
        <f aca="false">$G$3</f>
        <v>46371</v>
      </c>
      <c r="D97" s="30" t="n">
        <f aca="false">$G$3+6</f>
        <v>46377</v>
      </c>
      <c r="E97" s="31" t="n">
        <f aca="true">IF($I97="معلم",0,SUMPRODUCT((WEEKDAY(ROW(INDIRECT(INT($C97)&amp;":"&amp;INT($D97))),2)&lt;5)+(WEEKDAY(ROW(INDIRECT(INT($C97)&amp;":"&amp;INT($D97))),2)=7)))</f>
        <v>5</v>
      </c>
      <c r="F97" s="32" t="n">
        <v>0</v>
      </c>
      <c r="G97" s="33" t="str">
        <f aca="false">IF(F97&gt;=100,"مكتملة",IF(F97&gt;0,"قيد التنفيذ","لم تبدأ"))</f>
        <v>لم تبدأ</v>
      </c>
      <c r="H97" s="33" t="str">
        <f aca="true">IF(F97&gt;=100,"مكتمل",IF(TODAY()&gt;INT(D97),"يستوجب المتابعة",IF(TODAY()&lt;INT(C97),"لم يحن موعده","ضمن مدته")))</f>
        <v>لم يحن موعده</v>
      </c>
      <c r="I97" s="33" t="s">
        <v>30</v>
      </c>
      <c r="J97" s="34" t="s">
        <v>285</v>
      </c>
      <c r="K97" s="34" t="s">
        <v>32</v>
      </c>
      <c r="L97" s="35" t="n">
        <f aca="true">IF(F97&gt;=100,"—",INT(D97)-TODAY())</f>
        <v>117</v>
      </c>
      <c r="M97" s="36" t="s">
        <v>230</v>
      </c>
    </row>
    <row r="98" customFormat="false" ht="21.75" hidden="true" customHeight="true" outlineLevel="3" collapsed="false">
      <c r="A98" s="28" t="s">
        <v>289</v>
      </c>
      <c r="B98" s="48" t="s">
        <v>290</v>
      </c>
      <c r="C98" s="30" t="n">
        <f aca="false">$G$3+2</f>
        <v>46373</v>
      </c>
      <c r="D98" s="30" t="n">
        <f aca="false">$G$3+7</f>
        <v>46378</v>
      </c>
      <c r="E98" s="31" t="n">
        <f aca="true">IF($I98="معلم",0,SUMPRODUCT((WEEKDAY(ROW(INDIRECT(INT($C98)&amp;":"&amp;INT($D98))),2)&lt;5)+(WEEKDAY(ROW(INDIRECT(INT($C98)&amp;":"&amp;INT($D98))),2)=7)))</f>
        <v>4</v>
      </c>
      <c r="F98" s="32" t="n">
        <v>0</v>
      </c>
      <c r="G98" s="33" t="str">
        <f aca="false">IF(F98&gt;=100,"مكتملة",IF(F98&gt;0,"قيد التنفيذ","لم تبدأ"))</f>
        <v>لم تبدأ</v>
      </c>
      <c r="H98" s="33" t="str">
        <f aca="true">IF(F98&gt;=100,"مكتمل",IF(TODAY()&gt;INT(D98),"يستوجب المتابعة",IF(TODAY()&lt;INT(C98),"لم يحن موعده","ضمن مدته")))</f>
        <v>لم يحن موعده</v>
      </c>
      <c r="I98" s="33" t="s">
        <v>30</v>
      </c>
      <c r="J98" s="34" t="s">
        <v>285</v>
      </c>
      <c r="K98" s="34" t="s">
        <v>32</v>
      </c>
      <c r="L98" s="35" t="n">
        <f aca="true">IF(F98&gt;=100,"—",INT(D98)-TODAY())</f>
        <v>118</v>
      </c>
      <c r="M98" s="36" t="s">
        <v>233</v>
      </c>
    </row>
    <row r="99" customFormat="false" ht="21.75" hidden="true" customHeight="true" outlineLevel="3" collapsed="false">
      <c r="A99" s="28" t="s">
        <v>291</v>
      </c>
      <c r="B99" s="48" t="s">
        <v>292</v>
      </c>
      <c r="C99" s="30" t="n">
        <f aca="false">$G$3+5</f>
        <v>46376</v>
      </c>
      <c r="D99" s="30" t="n">
        <f aca="false">$G$3+27</f>
        <v>46398</v>
      </c>
      <c r="E99" s="31" t="n">
        <f aca="true">IF($I99="معلم",0,SUMPRODUCT((WEEKDAY(ROW(INDIRECT(INT($C99)&amp;":"&amp;INT($D99))),2)&lt;5)+(WEEKDAY(ROW(INDIRECT(INT($C99)&amp;":"&amp;INT($D99))),2)=7)))</f>
        <v>17</v>
      </c>
      <c r="F99" s="32" t="n">
        <v>0</v>
      </c>
      <c r="G99" s="33" t="str">
        <f aca="false">IF(F99&gt;=100,"مكتملة",IF(F99&gt;0,"قيد التنفيذ","لم تبدأ"))</f>
        <v>لم تبدأ</v>
      </c>
      <c r="H99" s="33" t="str">
        <f aca="true">IF(F99&gt;=100,"مكتمل",IF(TODAY()&gt;INT(D99),"يستوجب المتابعة",IF(TODAY()&lt;INT(C99),"لم يحن موعده","ضمن مدته")))</f>
        <v>لم يحن موعده</v>
      </c>
      <c r="I99" s="33" t="s">
        <v>30</v>
      </c>
      <c r="J99" s="34" t="s">
        <v>285</v>
      </c>
      <c r="K99" s="34" t="s">
        <v>32</v>
      </c>
      <c r="L99" s="35" t="n">
        <f aca="true">IF(F99&gt;=100,"—",INT(D99)-TODAY())</f>
        <v>138</v>
      </c>
      <c r="M99" s="36" t="s">
        <v>236</v>
      </c>
    </row>
    <row r="100" customFormat="false" ht="21.75" hidden="true" customHeight="true" outlineLevel="3" collapsed="false">
      <c r="A100" s="28" t="s">
        <v>293</v>
      </c>
      <c r="B100" s="48" t="s">
        <v>294</v>
      </c>
      <c r="C100" s="30" t="n">
        <f aca="false">$G$3+12</f>
        <v>46383</v>
      </c>
      <c r="D100" s="30" t="n">
        <f aca="false">$G$3+29</f>
        <v>46400</v>
      </c>
      <c r="E100" s="31" t="n">
        <f aca="true">IF($I100="معلم",0,SUMPRODUCT((WEEKDAY(ROW(INDIRECT(INT($C100)&amp;":"&amp;INT($D100))),2)&lt;5)+(WEEKDAY(ROW(INDIRECT(INT($C100)&amp;":"&amp;INT($D100))),2)=7)))</f>
        <v>14</v>
      </c>
      <c r="F100" s="32" t="n">
        <v>0</v>
      </c>
      <c r="G100" s="33" t="str">
        <f aca="false">IF(F100&gt;=100,"مكتملة",IF(F100&gt;0,"قيد التنفيذ","لم تبدأ"))</f>
        <v>لم تبدأ</v>
      </c>
      <c r="H100" s="33" t="str">
        <f aca="true">IF(F100&gt;=100,"مكتمل",IF(TODAY()&gt;INT(D100),"يستوجب المتابعة",IF(TODAY()&lt;INT(C100),"لم يحن موعده","ضمن مدته")))</f>
        <v>لم يحن موعده</v>
      </c>
      <c r="I100" s="33" t="s">
        <v>30</v>
      </c>
      <c r="J100" s="34" t="s">
        <v>285</v>
      </c>
      <c r="K100" s="34" t="s">
        <v>32</v>
      </c>
      <c r="L100" s="35" t="n">
        <f aca="true">IF(F100&gt;=100,"—",INT(D100)-TODAY())</f>
        <v>140</v>
      </c>
      <c r="M100" s="36" t="s">
        <v>239</v>
      </c>
    </row>
    <row r="101" customFormat="false" ht="21.75" hidden="true" customHeight="true" outlineLevel="3" collapsed="false">
      <c r="A101" s="28" t="s">
        <v>295</v>
      </c>
      <c r="B101" s="48" t="s">
        <v>296</v>
      </c>
      <c r="C101" s="30" t="n">
        <f aca="false">$G$3+27</f>
        <v>46398</v>
      </c>
      <c r="D101" s="30" t="n">
        <f aca="false">$G$3+30</f>
        <v>46401</v>
      </c>
      <c r="E101" s="31" t="n">
        <f aca="true">IF($I101="معلم",0,SUMPRODUCT((WEEKDAY(ROW(INDIRECT(INT($C101)&amp;":"&amp;INT($D101))),2)&lt;5)+(WEEKDAY(ROW(INDIRECT(INT($C101)&amp;":"&amp;INT($D101))),2)=7)))</f>
        <v>4</v>
      </c>
      <c r="F101" s="32" t="n">
        <v>0</v>
      </c>
      <c r="G101" s="33" t="str">
        <f aca="false">IF(F101&gt;=100,"مكتملة",IF(F101&gt;0,"قيد التنفيذ","لم تبدأ"))</f>
        <v>لم تبدأ</v>
      </c>
      <c r="H101" s="33" t="str">
        <f aca="true">IF(F101&gt;=100,"مكتمل",IF(TODAY()&gt;INT(D101),"يستوجب المتابعة",IF(TODAY()&lt;INT(C101),"لم يحن موعده","ضمن مدته")))</f>
        <v>لم يحن موعده</v>
      </c>
      <c r="I101" s="33" t="s">
        <v>30</v>
      </c>
      <c r="J101" s="34" t="s">
        <v>285</v>
      </c>
      <c r="K101" s="34" t="s">
        <v>32</v>
      </c>
      <c r="L101" s="35" t="n">
        <f aca="true">IF(F101&gt;=100,"—",INT(D101)-TODAY())</f>
        <v>141</v>
      </c>
      <c r="M101" s="36" t="s">
        <v>242</v>
      </c>
    </row>
    <row r="102" customFormat="false" ht="21.75" hidden="true" customHeight="true" outlineLevel="2" collapsed="true">
      <c r="A102" s="19" t="s">
        <v>297</v>
      </c>
      <c r="B102" s="46" t="s">
        <v>298</v>
      </c>
      <c r="C102" s="21" t="n">
        <f aca="false">MIN(C103,C104,C105,C106,C107)</f>
        <v>46371</v>
      </c>
      <c r="D102" s="21" t="n">
        <f aca="false">MAX(D103,D104,D105,D106,D107)</f>
        <v>46392</v>
      </c>
      <c r="E102" s="22" t="n">
        <f aca="true">IF($I102="معلم",0,SUMPRODUCT((WEEKDAY(ROW(INDIRECT(INT($C102)&amp;":"&amp;INT($D102))),2)&lt;5)+(WEEKDAY(ROW(INDIRECT(INT($C102)&amp;":"&amp;INT($D102))),2)=7)))</f>
        <v>16</v>
      </c>
      <c r="F102" s="23" t="n">
        <f aca="false">ROUND(AVERAGE(F103,F104,F105,F106,F107),0)</f>
        <v>0</v>
      </c>
      <c r="G102" s="24" t="str">
        <f aca="false">IF(F102&gt;=100,"مكتملة",IF(F102&gt;0,"قيد التنفيذ","لم تبدأ"))</f>
        <v>لم تبدأ</v>
      </c>
      <c r="H102" s="24" t="str">
        <f aca="true">IF(F102&gt;=100,"مكتمل",IF(TODAY()&gt;INT(D102),"يستوجب المتابعة",IF(TODAY()&lt;INT(C102),"لم يحن موعده","ضمن مدته")))</f>
        <v>لم يحن موعده</v>
      </c>
      <c r="I102" s="24" t="s">
        <v>30</v>
      </c>
      <c r="J102" s="25" t="s">
        <v>299</v>
      </c>
      <c r="K102" s="25" t="s">
        <v>300</v>
      </c>
      <c r="L102" s="26" t="n">
        <f aca="true">IF(F102&gt;=100,"—",INT(D102)-TODAY())</f>
        <v>132</v>
      </c>
      <c r="M102" s="47" t="s">
        <v>301</v>
      </c>
    </row>
    <row r="103" customFormat="false" ht="21.75" hidden="true" customHeight="true" outlineLevel="3" collapsed="false">
      <c r="A103" s="28" t="s">
        <v>302</v>
      </c>
      <c r="B103" s="48" t="s">
        <v>303</v>
      </c>
      <c r="C103" s="30" t="n">
        <f aca="false">$G$3</f>
        <v>46371</v>
      </c>
      <c r="D103" s="30" t="n">
        <f aca="false">$G$3+5</f>
        <v>46376</v>
      </c>
      <c r="E103" s="31" t="n">
        <f aca="true">IF($I103="معلم",0,SUMPRODUCT((WEEKDAY(ROW(INDIRECT(INT($C103)&amp;":"&amp;INT($D103))),2)&lt;5)+(WEEKDAY(ROW(INDIRECT(INT($C103)&amp;":"&amp;INT($D103))),2)=7)))</f>
        <v>4</v>
      </c>
      <c r="F103" s="32" t="n">
        <v>0</v>
      </c>
      <c r="G103" s="33" t="str">
        <f aca="false">IF(F103&gt;=100,"مكتملة",IF(F103&gt;0,"قيد التنفيذ","لم تبدأ"))</f>
        <v>لم تبدأ</v>
      </c>
      <c r="H103" s="33" t="str">
        <f aca="true">IF(F103&gt;=100,"مكتمل",IF(TODAY()&gt;INT(D103),"يستوجب المتابعة",IF(TODAY()&lt;INT(C103),"لم يحن موعده","ضمن مدته")))</f>
        <v>لم يحن موعده</v>
      </c>
      <c r="I103" s="33" t="s">
        <v>30</v>
      </c>
      <c r="J103" s="34" t="s">
        <v>299</v>
      </c>
      <c r="K103" s="34" t="s">
        <v>300</v>
      </c>
      <c r="L103" s="35" t="n">
        <f aca="true">IF(F103&gt;=100,"—",INT(D103)-TODAY())</f>
        <v>116</v>
      </c>
      <c r="M103" s="36" t="s">
        <v>230</v>
      </c>
    </row>
    <row r="104" customFormat="false" ht="21.75" hidden="true" customHeight="true" outlineLevel="3" collapsed="false">
      <c r="A104" s="28" t="s">
        <v>304</v>
      </c>
      <c r="B104" s="48" t="s">
        <v>305</v>
      </c>
      <c r="C104" s="30" t="n">
        <f aca="false">$G$3+1</f>
        <v>46372</v>
      </c>
      <c r="D104" s="30" t="n">
        <f aca="false">$G$3+5</f>
        <v>46376</v>
      </c>
      <c r="E104" s="31" t="n">
        <f aca="true">IF($I104="معلم",0,SUMPRODUCT((WEEKDAY(ROW(INDIRECT(INT($C104)&amp;":"&amp;INT($D104))),2)&lt;5)+(WEEKDAY(ROW(INDIRECT(INT($C104)&amp;":"&amp;INT($D104))),2)=7)))</f>
        <v>3</v>
      </c>
      <c r="F104" s="32" t="n">
        <v>0</v>
      </c>
      <c r="G104" s="33" t="str">
        <f aca="false">IF(F104&gt;=100,"مكتملة",IF(F104&gt;0,"قيد التنفيذ","لم تبدأ"))</f>
        <v>لم تبدأ</v>
      </c>
      <c r="H104" s="33" t="str">
        <f aca="true">IF(F104&gt;=100,"مكتمل",IF(TODAY()&gt;INT(D104),"يستوجب المتابعة",IF(TODAY()&lt;INT(C104),"لم يحن موعده","ضمن مدته")))</f>
        <v>لم يحن موعده</v>
      </c>
      <c r="I104" s="33" t="s">
        <v>30</v>
      </c>
      <c r="J104" s="34" t="s">
        <v>299</v>
      </c>
      <c r="K104" s="34" t="s">
        <v>300</v>
      </c>
      <c r="L104" s="35" t="n">
        <f aca="true">IF(F104&gt;=100,"—",INT(D104)-TODAY())</f>
        <v>116</v>
      </c>
      <c r="M104" s="36" t="s">
        <v>233</v>
      </c>
    </row>
    <row r="105" customFormat="false" ht="21.75" hidden="true" customHeight="true" outlineLevel="3" collapsed="false">
      <c r="A105" s="28" t="s">
        <v>306</v>
      </c>
      <c r="B105" s="48" t="s">
        <v>307</v>
      </c>
      <c r="C105" s="30" t="n">
        <f aca="false">$G$3+2</f>
        <v>46373</v>
      </c>
      <c r="D105" s="30" t="n">
        <f aca="false">$G$3+19</f>
        <v>46390</v>
      </c>
      <c r="E105" s="31" t="n">
        <f aca="true">IF($I105="معلم",0,SUMPRODUCT((WEEKDAY(ROW(INDIRECT(INT($C105)&amp;":"&amp;INT($D105))),2)&lt;5)+(WEEKDAY(ROW(INDIRECT(INT($C105)&amp;":"&amp;INT($D105))),2)=7)))</f>
        <v>12</v>
      </c>
      <c r="F105" s="32" t="n">
        <v>0</v>
      </c>
      <c r="G105" s="33" t="str">
        <f aca="false">IF(F105&gt;=100,"مكتملة",IF(F105&gt;0,"قيد التنفيذ","لم تبدأ"))</f>
        <v>لم تبدأ</v>
      </c>
      <c r="H105" s="33" t="str">
        <f aca="true">IF(F105&gt;=100,"مكتمل",IF(TODAY()&gt;INT(D105),"يستوجب المتابعة",IF(TODAY()&lt;INT(C105),"لم يحن موعده","ضمن مدته")))</f>
        <v>لم يحن موعده</v>
      </c>
      <c r="I105" s="33" t="s">
        <v>30</v>
      </c>
      <c r="J105" s="34" t="s">
        <v>299</v>
      </c>
      <c r="K105" s="34" t="s">
        <v>300</v>
      </c>
      <c r="L105" s="35" t="n">
        <f aca="true">IF(F105&gt;=100,"—",INT(D105)-TODAY())</f>
        <v>130</v>
      </c>
      <c r="M105" s="36" t="s">
        <v>236</v>
      </c>
    </row>
    <row r="106" customFormat="false" ht="21.75" hidden="true" customHeight="true" outlineLevel="3" collapsed="false">
      <c r="A106" s="28" t="s">
        <v>308</v>
      </c>
      <c r="B106" s="48" t="s">
        <v>309</v>
      </c>
      <c r="C106" s="30" t="n">
        <f aca="false">$G$3+7</f>
        <v>46378</v>
      </c>
      <c r="D106" s="30" t="n">
        <f aca="false">$G$3+21</f>
        <v>46392</v>
      </c>
      <c r="E106" s="31" t="n">
        <f aca="true">IF($I106="معلم",0,SUMPRODUCT((WEEKDAY(ROW(INDIRECT(INT($C106)&amp;":"&amp;INT($D106))),2)&lt;5)+(WEEKDAY(ROW(INDIRECT(INT($C106)&amp;":"&amp;INT($D106))),2)=7)))</f>
        <v>11</v>
      </c>
      <c r="F106" s="32" t="n">
        <v>0</v>
      </c>
      <c r="G106" s="33" t="str">
        <f aca="false">IF(F106&gt;=100,"مكتملة",IF(F106&gt;0,"قيد التنفيذ","لم تبدأ"))</f>
        <v>لم تبدأ</v>
      </c>
      <c r="H106" s="33" t="str">
        <f aca="true">IF(F106&gt;=100,"مكتمل",IF(TODAY()&gt;INT(D106),"يستوجب المتابعة",IF(TODAY()&lt;INT(C106),"لم يحن موعده","ضمن مدته")))</f>
        <v>لم يحن موعده</v>
      </c>
      <c r="I106" s="33" t="s">
        <v>30</v>
      </c>
      <c r="J106" s="34" t="s">
        <v>299</v>
      </c>
      <c r="K106" s="34" t="s">
        <v>300</v>
      </c>
      <c r="L106" s="35" t="n">
        <f aca="true">IF(F106&gt;=100,"—",INT(D106)-TODAY())</f>
        <v>132</v>
      </c>
      <c r="M106" s="36" t="s">
        <v>239</v>
      </c>
    </row>
    <row r="107" customFormat="false" ht="21.75" hidden="true" customHeight="true" outlineLevel="3" collapsed="false">
      <c r="A107" s="28" t="s">
        <v>310</v>
      </c>
      <c r="B107" s="48" t="s">
        <v>311</v>
      </c>
      <c r="C107" s="30" t="n">
        <f aca="false">$G$3+19</f>
        <v>46390</v>
      </c>
      <c r="D107" s="30" t="n">
        <f aca="false">$G$3+21</f>
        <v>46392</v>
      </c>
      <c r="E107" s="31" t="n">
        <f aca="true">IF($I107="معلم",0,SUMPRODUCT((WEEKDAY(ROW(INDIRECT(INT($C107)&amp;":"&amp;INT($D107))),2)&lt;5)+(WEEKDAY(ROW(INDIRECT(INT($C107)&amp;":"&amp;INT($D107))),2)=7)))</f>
        <v>3</v>
      </c>
      <c r="F107" s="32" t="n">
        <v>0</v>
      </c>
      <c r="G107" s="33" t="str">
        <f aca="false">IF(F107&gt;=100,"مكتملة",IF(F107&gt;0,"قيد التنفيذ","لم تبدأ"))</f>
        <v>لم تبدأ</v>
      </c>
      <c r="H107" s="33" t="str">
        <f aca="true">IF(F107&gt;=100,"مكتمل",IF(TODAY()&gt;INT(D107),"يستوجب المتابعة",IF(TODAY()&lt;INT(C107),"لم يحن موعده","ضمن مدته")))</f>
        <v>لم يحن موعده</v>
      </c>
      <c r="I107" s="33" t="s">
        <v>30</v>
      </c>
      <c r="J107" s="34" t="s">
        <v>299</v>
      </c>
      <c r="K107" s="34" t="s">
        <v>300</v>
      </c>
      <c r="L107" s="35" t="n">
        <f aca="true">IF(F107&gt;=100,"—",INT(D107)-TODAY())</f>
        <v>132</v>
      </c>
      <c r="M107" s="36" t="s">
        <v>242</v>
      </c>
    </row>
    <row r="108" customFormat="false" ht="21.75" hidden="true" customHeight="true" outlineLevel="2" collapsed="true">
      <c r="A108" s="19" t="s">
        <v>312</v>
      </c>
      <c r="B108" s="46" t="s">
        <v>313</v>
      </c>
      <c r="C108" s="21" t="n">
        <f aca="false">MIN(C109,C110,C111,C112,C113)</f>
        <v>46371</v>
      </c>
      <c r="D108" s="21" t="n">
        <f aca="false">MAX(D109,D110,D111,D112,D113)</f>
        <v>46398</v>
      </c>
      <c r="E108" s="22" t="n">
        <f aca="true">IF($I108="معلم",0,SUMPRODUCT((WEEKDAY(ROW(INDIRECT(INT($C108)&amp;":"&amp;INT($D108))),2)&lt;5)+(WEEKDAY(ROW(INDIRECT(INT($C108)&amp;":"&amp;INT($D108))),2)=7)))</f>
        <v>20</v>
      </c>
      <c r="F108" s="23" t="n">
        <f aca="false">ROUND(AVERAGE(F109,F110,F111,F112,F113),0)</f>
        <v>0</v>
      </c>
      <c r="G108" s="24" t="str">
        <f aca="false">IF(F108&gt;=100,"مكتملة",IF(F108&gt;0,"قيد التنفيذ","لم تبدأ"))</f>
        <v>لم تبدأ</v>
      </c>
      <c r="H108" s="24" t="str">
        <f aca="true">IF(F108&gt;=100,"مكتمل",IF(TODAY()&gt;INT(D108),"يستوجب المتابعة",IF(TODAY()&lt;INT(C108),"لم يحن موعده","ضمن مدته")))</f>
        <v>لم يحن موعده</v>
      </c>
      <c r="I108" s="24" t="s">
        <v>30</v>
      </c>
      <c r="J108" s="25" t="s">
        <v>299</v>
      </c>
      <c r="K108" s="25" t="s">
        <v>300</v>
      </c>
      <c r="L108" s="26" t="n">
        <f aca="true">IF(F108&gt;=100,"—",INT(D108)-TODAY())</f>
        <v>138</v>
      </c>
      <c r="M108" s="47" t="s">
        <v>301</v>
      </c>
    </row>
    <row r="109" customFormat="false" ht="21.75" hidden="true" customHeight="true" outlineLevel="3" collapsed="false">
      <c r="A109" s="28" t="s">
        <v>314</v>
      </c>
      <c r="B109" s="48" t="s">
        <v>315</v>
      </c>
      <c r="C109" s="30" t="n">
        <f aca="false">$G$3</f>
        <v>46371</v>
      </c>
      <c r="D109" s="30" t="n">
        <f aca="false">$G$3+5</f>
        <v>46376</v>
      </c>
      <c r="E109" s="31" t="n">
        <f aca="true">IF($I109="معلم",0,SUMPRODUCT((WEEKDAY(ROW(INDIRECT(INT($C109)&amp;":"&amp;INT($D109))),2)&lt;5)+(WEEKDAY(ROW(INDIRECT(INT($C109)&amp;":"&amp;INT($D109))),2)=7)))</f>
        <v>4</v>
      </c>
      <c r="F109" s="32" t="n">
        <v>0</v>
      </c>
      <c r="G109" s="33" t="str">
        <f aca="false">IF(F109&gt;=100,"مكتملة",IF(F109&gt;0,"قيد التنفيذ","لم تبدأ"))</f>
        <v>لم تبدأ</v>
      </c>
      <c r="H109" s="33" t="str">
        <f aca="true">IF(F109&gt;=100,"مكتمل",IF(TODAY()&gt;INT(D109),"يستوجب المتابعة",IF(TODAY()&lt;INT(C109),"لم يحن موعده","ضمن مدته")))</f>
        <v>لم يحن موعده</v>
      </c>
      <c r="I109" s="33" t="s">
        <v>30</v>
      </c>
      <c r="J109" s="34" t="s">
        <v>299</v>
      </c>
      <c r="K109" s="34" t="s">
        <v>300</v>
      </c>
      <c r="L109" s="35" t="n">
        <f aca="true">IF(F109&gt;=100,"—",INT(D109)-TODAY())</f>
        <v>116</v>
      </c>
      <c r="M109" s="36" t="s">
        <v>230</v>
      </c>
    </row>
    <row r="110" customFormat="false" ht="21.75" hidden="true" customHeight="true" outlineLevel="3" collapsed="false">
      <c r="A110" s="28" t="s">
        <v>316</v>
      </c>
      <c r="B110" s="48" t="s">
        <v>317</v>
      </c>
      <c r="C110" s="30" t="n">
        <f aca="false">$G$3+1</f>
        <v>46372</v>
      </c>
      <c r="D110" s="30" t="n">
        <f aca="false">$G$3+6</f>
        <v>46377</v>
      </c>
      <c r="E110" s="31" t="n">
        <f aca="true">IF($I110="معلم",0,SUMPRODUCT((WEEKDAY(ROW(INDIRECT(INT($C110)&amp;":"&amp;INT($D110))),2)&lt;5)+(WEEKDAY(ROW(INDIRECT(INT($C110)&amp;":"&amp;INT($D110))),2)=7)))</f>
        <v>4</v>
      </c>
      <c r="F110" s="32" t="n">
        <v>0</v>
      </c>
      <c r="G110" s="33" t="str">
        <f aca="false">IF(F110&gt;=100,"مكتملة",IF(F110&gt;0,"قيد التنفيذ","لم تبدأ"))</f>
        <v>لم تبدأ</v>
      </c>
      <c r="H110" s="33" t="str">
        <f aca="true">IF(F110&gt;=100,"مكتمل",IF(TODAY()&gt;INT(D110),"يستوجب المتابعة",IF(TODAY()&lt;INT(C110),"لم يحن موعده","ضمن مدته")))</f>
        <v>لم يحن موعده</v>
      </c>
      <c r="I110" s="33" t="s">
        <v>30</v>
      </c>
      <c r="J110" s="34" t="s">
        <v>299</v>
      </c>
      <c r="K110" s="34" t="s">
        <v>300</v>
      </c>
      <c r="L110" s="35" t="n">
        <f aca="true">IF(F110&gt;=100,"—",INT(D110)-TODAY())</f>
        <v>117</v>
      </c>
      <c r="M110" s="36" t="s">
        <v>233</v>
      </c>
    </row>
    <row r="111" customFormat="false" ht="21.75" hidden="true" customHeight="true" outlineLevel="3" collapsed="false">
      <c r="A111" s="28" t="s">
        <v>318</v>
      </c>
      <c r="B111" s="48" t="s">
        <v>319</v>
      </c>
      <c r="C111" s="30" t="n">
        <f aca="false">$G$3+2</f>
        <v>46373</v>
      </c>
      <c r="D111" s="30" t="n">
        <f aca="false">$G$3+22</f>
        <v>46393</v>
      </c>
      <c r="E111" s="31" t="n">
        <f aca="true">IF($I111="معلم",0,SUMPRODUCT((WEEKDAY(ROW(INDIRECT(INT($C111)&amp;":"&amp;INT($D111))),2)&lt;5)+(WEEKDAY(ROW(INDIRECT(INT($C111)&amp;":"&amp;INT($D111))),2)=7)))</f>
        <v>15</v>
      </c>
      <c r="F111" s="32" t="n">
        <v>0</v>
      </c>
      <c r="G111" s="33" t="str">
        <f aca="false">IF(F111&gt;=100,"مكتملة",IF(F111&gt;0,"قيد التنفيذ","لم تبدأ"))</f>
        <v>لم تبدأ</v>
      </c>
      <c r="H111" s="33" t="str">
        <f aca="true">IF(F111&gt;=100,"مكتمل",IF(TODAY()&gt;INT(D111),"يستوجب المتابعة",IF(TODAY()&lt;INT(C111),"لم يحن موعده","ضمن مدته")))</f>
        <v>لم يحن موعده</v>
      </c>
      <c r="I111" s="33" t="s">
        <v>30</v>
      </c>
      <c r="J111" s="34" t="s">
        <v>299</v>
      </c>
      <c r="K111" s="34" t="s">
        <v>300</v>
      </c>
      <c r="L111" s="35" t="n">
        <f aca="true">IF(F111&gt;=100,"—",INT(D111)-TODAY())</f>
        <v>133</v>
      </c>
      <c r="M111" s="36" t="s">
        <v>236</v>
      </c>
    </row>
    <row r="112" customFormat="false" ht="21.75" hidden="true" customHeight="true" outlineLevel="3" collapsed="false">
      <c r="A112" s="28" t="s">
        <v>320</v>
      </c>
      <c r="B112" s="48" t="s">
        <v>321</v>
      </c>
      <c r="C112" s="30" t="n">
        <f aca="false">$G$3+8</f>
        <v>46379</v>
      </c>
      <c r="D112" s="30" t="n">
        <f aca="false">$G$3+26</f>
        <v>46397</v>
      </c>
      <c r="E112" s="31" t="n">
        <f aca="true">IF($I112="معلم",0,SUMPRODUCT((WEEKDAY(ROW(INDIRECT(INT($C112)&amp;":"&amp;INT($D112))),2)&lt;5)+(WEEKDAY(ROW(INDIRECT(INT($C112)&amp;":"&amp;INT($D112))),2)=7)))</f>
        <v>13</v>
      </c>
      <c r="F112" s="32" t="n">
        <v>0</v>
      </c>
      <c r="G112" s="33" t="str">
        <f aca="false">IF(F112&gt;=100,"مكتملة",IF(F112&gt;0,"قيد التنفيذ","لم تبدأ"))</f>
        <v>لم تبدأ</v>
      </c>
      <c r="H112" s="33" t="str">
        <f aca="true">IF(F112&gt;=100,"مكتمل",IF(TODAY()&gt;INT(D112),"يستوجب المتابعة",IF(TODAY()&lt;INT(C112),"لم يحن موعده","ضمن مدته")))</f>
        <v>لم يحن موعده</v>
      </c>
      <c r="I112" s="33" t="s">
        <v>30</v>
      </c>
      <c r="J112" s="34" t="s">
        <v>299</v>
      </c>
      <c r="K112" s="34" t="s">
        <v>300</v>
      </c>
      <c r="L112" s="35" t="n">
        <f aca="true">IF(F112&gt;=100,"—",INT(D112)-TODAY())</f>
        <v>137</v>
      </c>
      <c r="M112" s="36" t="s">
        <v>239</v>
      </c>
    </row>
    <row r="113" customFormat="false" ht="21.75" hidden="true" customHeight="true" outlineLevel="3" collapsed="false">
      <c r="A113" s="28" t="s">
        <v>322</v>
      </c>
      <c r="B113" s="48" t="s">
        <v>323</v>
      </c>
      <c r="C113" s="30" t="n">
        <f aca="false">$G$3+22</f>
        <v>46393</v>
      </c>
      <c r="D113" s="30" t="n">
        <f aca="false">$G$3+27</f>
        <v>46398</v>
      </c>
      <c r="E113" s="31" t="n">
        <f aca="true">IF($I113="معلم",0,SUMPRODUCT((WEEKDAY(ROW(INDIRECT(INT($C113)&amp;":"&amp;INT($D113))),2)&lt;5)+(WEEKDAY(ROW(INDIRECT(INT($C113)&amp;":"&amp;INT($D113))),2)=7)))</f>
        <v>4</v>
      </c>
      <c r="F113" s="32" t="n">
        <v>0</v>
      </c>
      <c r="G113" s="33" t="str">
        <f aca="false">IF(F113&gt;=100,"مكتملة",IF(F113&gt;0,"قيد التنفيذ","لم تبدأ"))</f>
        <v>لم تبدأ</v>
      </c>
      <c r="H113" s="33" t="str">
        <f aca="true">IF(F113&gt;=100,"مكتمل",IF(TODAY()&gt;INT(D113),"يستوجب المتابعة",IF(TODAY()&lt;INT(C113),"لم يحن موعده","ضمن مدته")))</f>
        <v>لم يحن موعده</v>
      </c>
      <c r="I113" s="33" t="s">
        <v>30</v>
      </c>
      <c r="J113" s="34" t="s">
        <v>299</v>
      </c>
      <c r="K113" s="34" t="s">
        <v>300</v>
      </c>
      <c r="L113" s="35" t="n">
        <f aca="true">IF(F113&gt;=100,"—",INT(D113)-TODAY())</f>
        <v>138</v>
      </c>
      <c r="M113" s="36" t="s">
        <v>242</v>
      </c>
    </row>
    <row r="114" customFormat="false" ht="21.75" hidden="true" customHeight="true" outlineLevel="2" collapsed="true">
      <c r="A114" s="19" t="s">
        <v>324</v>
      </c>
      <c r="B114" s="46" t="s">
        <v>325</v>
      </c>
      <c r="C114" s="21" t="n">
        <f aca="false">MIN(C115,C116,C117,C118,C119)</f>
        <v>46371</v>
      </c>
      <c r="D114" s="21" t="n">
        <f aca="false">MAX(D115,D116,D117,D118,D119)</f>
        <v>46377</v>
      </c>
      <c r="E114" s="22" t="n">
        <f aca="true">IF($I114="معلم",0,SUMPRODUCT((WEEKDAY(ROW(INDIRECT(INT($C114)&amp;":"&amp;INT($D114))),2)&lt;5)+(WEEKDAY(ROW(INDIRECT(INT($C114)&amp;":"&amp;INT($D114))),2)=7)))</f>
        <v>5</v>
      </c>
      <c r="F114" s="23" t="n">
        <f aca="false">ROUND(AVERAGE(F115,F116,F117,F118,F119),0)</f>
        <v>0</v>
      </c>
      <c r="G114" s="24" t="str">
        <f aca="false">IF(F114&gt;=100,"مكتملة",IF(F114&gt;0,"قيد التنفيذ","لم تبدأ"))</f>
        <v>لم تبدأ</v>
      </c>
      <c r="H114" s="24" t="str">
        <f aca="true">IF(F114&gt;=100,"مكتمل",IF(TODAY()&gt;INT(D114),"يستوجب المتابعة",IF(TODAY()&lt;INT(C114),"لم يحن موعده","ضمن مدته")))</f>
        <v>لم يحن موعده</v>
      </c>
      <c r="I114" s="24" t="s">
        <v>30</v>
      </c>
      <c r="J114" s="25" t="s">
        <v>326</v>
      </c>
      <c r="K114" s="25" t="s">
        <v>327</v>
      </c>
      <c r="L114" s="26" t="n">
        <f aca="true">IF(F114&gt;=100,"—",INT(D114)-TODAY())</f>
        <v>117</v>
      </c>
      <c r="M114" s="47" t="s">
        <v>328</v>
      </c>
    </row>
    <row r="115" customFormat="false" ht="21.75" hidden="true" customHeight="true" outlineLevel="3" collapsed="false">
      <c r="A115" s="28" t="s">
        <v>329</v>
      </c>
      <c r="B115" s="48" t="s">
        <v>330</v>
      </c>
      <c r="C115" s="30" t="n">
        <f aca="false">$G$3</f>
        <v>46371</v>
      </c>
      <c r="D115" s="30" t="n">
        <f aca="false">$G$3</f>
        <v>46371</v>
      </c>
      <c r="E115" s="31" t="n">
        <f aca="true">IF($I115="معلم",0,SUMPRODUCT((WEEKDAY(ROW(INDIRECT(INT($C115)&amp;":"&amp;INT($D115))),2)&lt;5)+(WEEKDAY(ROW(INDIRECT(INT($C115)&amp;":"&amp;INT($D115))),2)=7)))</f>
        <v>1</v>
      </c>
      <c r="F115" s="32" t="n">
        <v>0</v>
      </c>
      <c r="G115" s="33" t="str">
        <f aca="false">IF(F115&gt;=100,"مكتملة",IF(F115&gt;0,"قيد التنفيذ","لم تبدأ"))</f>
        <v>لم تبدأ</v>
      </c>
      <c r="H115" s="33" t="str">
        <f aca="true">IF(F115&gt;=100,"مكتمل",IF(TODAY()&gt;INT(D115),"يستوجب المتابعة",IF(TODAY()&lt;INT(C115),"لم يحن موعده","ضمن مدته")))</f>
        <v>لم يحن موعده</v>
      </c>
      <c r="I115" s="33" t="s">
        <v>30</v>
      </c>
      <c r="J115" s="34" t="s">
        <v>326</v>
      </c>
      <c r="K115" s="34" t="s">
        <v>327</v>
      </c>
      <c r="L115" s="35" t="n">
        <f aca="true">IF(F115&gt;=100,"—",INT(D115)-TODAY())</f>
        <v>111</v>
      </c>
      <c r="M115" s="36" t="s">
        <v>230</v>
      </c>
    </row>
    <row r="116" customFormat="false" ht="21.75" hidden="true" customHeight="true" outlineLevel="3" collapsed="false">
      <c r="A116" s="28" t="s">
        <v>331</v>
      </c>
      <c r="B116" s="48" t="s">
        <v>332</v>
      </c>
      <c r="C116" s="30" t="n">
        <f aca="false">$G$3</f>
        <v>46371</v>
      </c>
      <c r="D116" s="30" t="n">
        <f aca="false">$G$3+1</f>
        <v>46372</v>
      </c>
      <c r="E116" s="31" t="n">
        <f aca="true">IF($I116="معلم",0,SUMPRODUCT((WEEKDAY(ROW(INDIRECT(INT($C116)&amp;":"&amp;INT($D116))),2)&lt;5)+(WEEKDAY(ROW(INDIRECT(INT($C116)&amp;":"&amp;INT($D116))),2)=7)))</f>
        <v>2</v>
      </c>
      <c r="F116" s="32" t="n">
        <v>0</v>
      </c>
      <c r="G116" s="33" t="str">
        <f aca="false">IF(F116&gt;=100,"مكتملة",IF(F116&gt;0,"قيد التنفيذ","لم تبدأ"))</f>
        <v>لم تبدأ</v>
      </c>
      <c r="H116" s="33" t="str">
        <f aca="true">IF(F116&gt;=100,"مكتمل",IF(TODAY()&gt;INT(D116),"يستوجب المتابعة",IF(TODAY()&lt;INT(C116),"لم يحن موعده","ضمن مدته")))</f>
        <v>لم يحن موعده</v>
      </c>
      <c r="I116" s="33" t="s">
        <v>30</v>
      </c>
      <c r="J116" s="34" t="s">
        <v>326</v>
      </c>
      <c r="K116" s="34" t="s">
        <v>327</v>
      </c>
      <c r="L116" s="35" t="n">
        <f aca="true">IF(F116&gt;=100,"—",INT(D116)-TODAY())</f>
        <v>112</v>
      </c>
      <c r="M116" s="36" t="s">
        <v>233</v>
      </c>
    </row>
    <row r="117" customFormat="false" ht="21.75" hidden="true" customHeight="true" outlineLevel="3" collapsed="false">
      <c r="A117" s="28" t="s">
        <v>333</v>
      </c>
      <c r="B117" s="48" t="s">
        <v>334</v>
      </c>
      <c r="C117" s="30" t="n">
        <f aca="false">$G$3</f>
        <v>46371</v>
      </c>
      <c r="D117" s="30" t="n">
        <f aca="false">$G$3+6</f>
        <v>46377</v>
      </c>
      <c r="E117" s="31" t="n">
        <f aca="true">IF($I117="معلم",0,SUMPRODUCT((WEEKDAY(ROW(INDIRECT(INT($C117)&amp;":"&amp;INT($D117))),2)&lt;5)+(WEEKDAY(ROW(INDIRECT(INT($C117)&amp;":"&amp;INT($D117))),2)=7)))</f>
        <v>5</v>
      </c>
      <c r="F117" s="32" t="n">
        <v>0</v>
      </c>
      <c r="G117" s="33" t="str">
        <f aca="false">IF(F117&gt;=100,"مكتملة",IF(F117&gt;0,"قيد التنفيذ","لم تبدأ"))</f>
        <v>لم تبدأ</v>
      </c>
      <c r="H117" s="33" t="str">
        <f aca="true">IF(F117&gt;=100,"مكتمل",IF(TODAY()&gt;INT(D117),"يستوجب المتابعة",IF(TODAY()&lt;INT(C117),"لم يحن موعده","ضمن مدته")))</f>
        <v>لم يحن موعده</v>
      </c>
      <c r="I117" s="33" t="s">
        <v>30</v>
      </c>
      <c r="J117" s="34" t="s">
        <v>326</v>
      </c>
      <c r="K117" s="34" t="s">
        <v>327</v>
      </c>
      <c r="L117" s="35" t="n">
        <f aca="true">IF(F117&gt;=100,"—",INT(D117)-TODAY())</f>
        <v>117</v>
      </c>
      <c r="M117" s="36" t="s">
        <v>236</v>
      </c>
    </row>
    <row r="118" customFormat="false" ht="21.75" hidden="true" customHeight="true" outlineLevel="3" collapsed="false">
      <c r="A118" s="28" t="s">
        <v>335</v>
      </c>
      <c r="B118" s="48" t="s">
        <v>336</v>
      </c>
      <c r="C118" s="30" t="n">
        <f aca="false">$G$3+1</f>
        <v>46372</v>
      </c>
      <c r="D118" s="30" t="n">
        <f aca="false">$G$3+6</f>
        <v>46377</v>
      </c>
      <c r="E118" s="31" t="n">
        <f aca="true">IF($I118="معلم",0,SUMPRODUCT((WEEKDAY(ROW(INDIRECT(INT($C118)&amp;":"&amp;INT($D118))),2)&lt;5)+(WEEKDAY(ROW(INDIRECT(INT($C118)&amp;":"&amp;INT($D118))),2)=7)))</f>
        <v>4</v>
      </c>
      <c r="F118" s="32" t="n">
        <v>0</v>
      </c>
      <c r="G118" s="33" t="str">
        <f aca="false">IF(F118&gt;=100,"مكتملة",IF(F118&gt;0,"قيد التنفيذ","لم تبدأ"))</f>
        <v>لم تبدأ</v>
      </c>
      <c r="H118" s="33" t="str">
        <f aca="true">IF(F118&gt;=100,"مكتمل",IF(TODAY()&gt;INT(D118),"يستوجب المتابعة",IF(TODAY()&lt;INT(C118),"لم يحن موعده","ضمن مدته")))</f>
        <v>لم يحن موعده</v>
      </c>
      <c r="I118" s="33" t="s">
        <v>30</v>
      </c>
      <c r="J118" s="34" t="s">
        <v>326</v>
      </c>
      <c r="K118" s="34" t="s">
        <v>327</v>
      </c>
      <c r="L118" s="35" t="n">
        <f aca="true">IF(F118&gt;=100,"—",INT(D118)-TODAY())</f>
        <v>117</v>
      </c>
      <c r="M118" s="36" t="s">
        <v>239</v>
      </c>
    </row>
    <row r="119" customFormat="false" ht="21.75" hidden="true" customHeight="true" outlineLevel="3" collapsed="false">
      <c r="A119" s="28" t="s">
        <v>337</v>
      </c>
      <c r="B119" s="48" t="s">
        <v>338</v>
      </c>
      <c r="C119" s="30" t="n">
        <f aca="false">$G$3+6</f>
        <v>46377</v>
      </c>
      <c r="D119" s="30" t="n">
        <f aca="false">$G$3+6</f>
        <v>46377</v>
      </c>
      <c r="E119" s="31" t="n">
        <f aca="true">IF($I119="معلم",0,SUMPRODUCT((WEEKDAY(ROW(INDIRECT(INT($C119)&amp;":"&amp;INT($D119))),2)&lt;5)+(WEEKDAY(ROW(INDIRECT(INT($C119)&amp;":"&amp;INT($D119))),2)=7)))</f>
        <v>1</v>
      </c>
      <c r="F119" s="32" t="n">
        <v>0</v>
      </c>
      <c r="G119" s="33" t="str">
        <f aca="false">IF(F119&gt;=100,"مكتملة",IF(F119&gt;0,"قيد التنفيذ","لم تبدأ"))</f>
        <v>لم تبدأ</v>
      </c>
      <c r="H119" s="33" t="str">
        <f aca="true">IF(F119&gt;=100,"مكتمل",IF(TODAY()&gt;INT(D119),"يستوجب المتابعة",IF(TODAY()&lt;INT(C119),"لم يحن موعده","ضمن مدته")))</f>
        <v>لم يحن موعده</v>
      </c>
      <c r="I119" s="33" t="s">
        <v>30</v>
      </c>
      <c r="J119" s="34" t="s">
        <v>326</v>
      </c>
      <c r="K119" s="34" t="s">
        <v>327</v>
      </c>
      <c r="L119" s="35" t="n">
        <f aca="true">IF(F119&gt;=100,"—",INT(D119)-TODAY())</f>
        <v>117</v>
      </c>
      <c r="M119" s="36" t="s">
        <v>242</v>
      </c>
    </row>
    <row r="120" customFormat="false" ht="21.75" hidden="true" customHeight="true" outlineLevel="2" collapsed="true">
      <c r="A120" s="19" t="s">
        <v>339</v>
      </c>
      <c r="B120" s="46" t="s">
        <v>340</v>
      </c>
      <c r="C120" s="21" t="n">
        <f aca="false">MIN(C121,C122,C123,C124,C125)</f>
        <v>46371</v>
      </c>
      <c r="D120" s="21" t="n">
        <f aca="false">MAX(D121,D122,D123,D124,D125)</f>
        <v>46412</v>
      </c>
      <c r="E120" s="22" t="n">
        <f aca="true">IF($I120="معلم",0,SUMPRODUCT((WEEKDAY(ROW(INDIRECT(INT($C120)&amp;":"&amp;INT($D120))),2)&lt;5)+(WEEKDAY(ROW(INDIRECT(INT($C120)&amp;":"&amp;INT($D120))),2)=7)))</f>
        <v>30</v>
      </c>
      <c r="F120" s="23" t="n">
        <f aca="false">ROUND(AVERAGE(F121,F122,F123,F124,F125),0)</f>
        <v>0</v>
      </c>
      <c r="G120" s="24" t="str">
        <f aca="false">IF(F120&gt;=100,"مكتملة",IF(F120&gt;0,"قيد التنفيذ","لم تبدأ"))</f>
        <v>لم تبدأ</v>
      </c>
      <c r="H120" s="24" t="str">
        <f aca="true">IF(F120&gt;=100,"مكتمل",IF(TODAY()&gt;INT(D120),"يستوجب المتابعة",IF(TODAY()&lt;INT(C120),"لم يحن موعده","ضمن مدته")))</f>
        <v>لم يحن موعده</v>
      </c>
      <c r="I120" s="24" t="s">
        <v>30</v>
      </c>
      <c r="J120" s="25" t="s">
        <v>341</v>
      </c>
      <c r="K120" s="25" t="s">
        <v>342</v>
      </c>
      <c r="L120" s="26" t="n">
        <f aca="true">IF(F120&gt;=100,"—",INT(D120)-TODAY())</f>
        <v>152</v>
      </c>
      <c r="M120" s="47" t="s">
        <v>343</v>
      </c>
    </row>
    <row r="121" customFormat="false" ht="21.75" hidden="true" customHeight="true" outlineLevel="3" collapsed="false">
      <c r="A121" s="28" t="s">
        <v>344</v>
      </c>
      <c r="B121" s="48" t="s">
        <v>345</v>
      </c>
      <c r="C121" s="30" t="n">
        <f aca="false">$G$3</f>
        <v>46371</v>
      </c>
      <c r="D121" s="30" t="n">
        <f aca="false">$G$3+7</f>
        <v>46378</v>
      </c>
      <c r="E121" s="31" t="n">
        <f aca="true">IF($I121="معلم",0,SUMPRODUCT((WEEKDAY(ROW(INDIRECT(INT($C121)&amp;":"&amp;INT($D121))),2)&lt;5)+(WEEKDAY(ROW(INDIRECT(INT($C121)&amp;":"&amp;INT($D121))),2)=7)))</f>
        <v>6</v>
      </c>
      <c r="F121" s="32" t="n">
        <v>0</v>
      </c>
      <c r="G121" s="33" t="str">
        <f aca="false">IF(F121&gt;=100,"مكتملة",IF(F121&gt;0,"قيد التنفيذ","لم تبدأ"))</f>
        <v>لم تبدأ</v>
      </c>
      <c r="H121" s="33" t="str">
        <f aca="true">IF(F121&gt;=100,"مكتمل",IF(TODAY()&gt;INT(D121),"يستوجب المتابعة",IF(TODAY()&lt;INT(C121),"لم يحن موعده","ضمن مدته")))</f>
        <v>لم يحن موعده</v>
      </c>
      <c r="I121" s="33" t="s">
        <v>30</v>
      </c>
      <c r="J121" s="34" t="s">
        <v>341</v>
      </c>
      <c r="K121" s="34" t="s">
        <v>342</v>
      </c>
      <c r="L121" s="35" t="n">
        <f aca="true">IF(F121&gt;=100,"—",INT(D121)-TODAY())</f>
        <v>118</v>
      </c>
      <c r="M121" s="36" t="s">
        <v>230</v>
      </c>
    </row>
    <row r="122" customFormat="false" ht="21.75" hidden="true" customHeight="true" outlineLevel="3" collapsed="false">
      <c r="A122" s="28" t="s">
        <v>346</v>
      </c>
      <c r="B122" s="48" t="s">
        <v>347</v>
      </c>
      <c r="C122" s="30" t="n">
        <f aca="false">$G$3+2</f>
        <v>46373</v>
      </c>
      <c r="D122" s="30" t="n">
        <f aca="false">$G$3+9</f>
        <v>46380</v>
      </c>
      <c r="E122" s="31" t="n">
        <f aca="true">IF($I122="معلم",0,SUMPRODUCT((WEEKDAY(ROW(INDIRECT(INT($C122)&amp;":"&amp;INT($D122))),2)&lt;5)+(WEEKDAY(ROW(INDIRECT(INT($C122)&amp;":"&amp;INT($D122))),2)=7)))</f>
        <v>6</v>
      </c>
      <c r="F122" s="32" t="n">
        <v>0</v>
      </c>
      <c r="G122" s="33" t="str">
        <f aca="false">IF(F122&gt;=100,"مكتملة",IF(F122&gt;0,"قيد التنفيذ","لم تبدأ"))</f>
        <v>لم تبدأ</v>
      </c>
      <c r="H122" s="33" t="str">
        <f aca="true">IF(F122&gt;=100,"مكتمل",IF(TODAY()&gt;INT(D122),"يستوجب المتابعة",IF(TODAY()&lt;INT(C122),"لم يحن موعده","ضمن مدته")))</f>
        <v>لم يحن موعده</v>
      </c>
      <c r="I122" s="33" t="s">
        <v>30</v>
      </c>
      <c r="J122" s="34" t="s">
        <v>341</v>
      </c>
      <c r="K122" s="34" t="s">
        <v>342</v>
      </c>
      <c r="L122" s="35" t="n">
        <f aca="true">IF(F122&gt;=100,"—",INT(D122)-TODAY())</f>
        <v>120</v>
      </c>
      <c r="M122" s="36" t="s">
        <v>233</v>
      </c>
    </row>
    <row r="123" customFormat="false" ht="21.75" hidden="true" customHeight="true" outlineLevel="3" collapsed="false">
      <c r="A123" s="28" t="s">
        <v>348</v>
      </c>
      <c r="B123" s="48" t="s">
        <v>349</v>
      </c>
      <c r="C123" s="30" t="n">
        <f aca="false">$G$3+6</f>
        <v>46377</v>
      </c>
      <c r="D123" s="30" t="n">
        <f aca="false">$G$3+35</f>
        <v>46406</v>
      </c>
      <c r="E123" s="31" t="n">
        <f aca="true">IF($I123="معلم",0,SUMPRODUCT((WEEKDAY(ROW(INDIRECT(INT($C123)&amp;":"&amp;INT($D123))),2)&lt;5)+(WEEKDAY(ROW(INDIRECT(INT($C123)&amp;":"&amp;INT($D123))),2)=7)))</f>
        <v>22</v>
      </c>
      <c r="F123" s="32" t="n">
        <v>0</v>
      </c>
      <c r="G123" s="33" t="str">
        <f aca="false">IF(F123&gt;=100,"مكتملة",IF(F123&gt;0,"قيد التنفيذ","لم تبدأ"))</f>
        <v>لم تبدأ</v>
      </c>
      <c r="H123" s="33" t="str">
        <f aca="true">IF(F123&gt;=100,"مكتمل",IF(TODAY()&gt;INT(D123),"يستوجب المتابعة",IF(TODAY()&lt;INT(C123),"لم يحن موعده","ضمن مدته")))</f>
        <v>لم يحن موعده</v>
      </c>
      <c r="I123" s="33" t="s">
        <v>30</v>
      </c>
      <c r="J123" s="34" t="s">
        <v>341</v>
      </c>
      <c r="K123" s="34" t="s">
        <v>342</v>
      </c>
      <c r="L123" s="35" t="n">
        <f aca="true">IF(F123&gt;=100,"—",INT(D123)-TODAY())</f>
        <v>146</v>
      </c>
      <c r="M123" s="36" t="s">
        <v>236</v>
      </c>
    </row>
    <row r="124" customFormat="false" ht="21.75" hidden="true" customHeight="true" outlineLevel="3" collapsed="false">
      <c r="A124" s="28" t="s">
        <v>350</v>
      </c>
      <c r="B124" s="48" t="s">
        <v>351</v>
      </c>
      <c r="C124" s="30" t="n">
        <f aca="false">$G$3+14</f>
        <v>46385</v>
      </c>
      <c r="D124" s="30" t="n">
        <f aca="false">$G$3+40</f>
        <v>46411</v>
      </c>
      <c r="E124" s="31" t="n">
        <f aca="true">IF($I124="معلم",0,SUMPRODUCT((WEEKDAY(ROW(INDIRECT(INT($C124)&amp;":"&amp;INT($D124))),2)&lt;5)+(WEEKDAY(ROW(INDIRECT(INT($C124)&amp;":"&amp;INT($D124))),2)=7)))</f>
        <v>19</v>
      </c>
      <c r="F124" s="32" t="n">
        <v>0</v>
      </c>
      <c r="G124" s="33" t="str">
        <f aca="false">IF(F124&gt;=100,"مكتملة",IF(F124&gt;0,"قيد التنفيذ","لم تبدأ"))</f>
        <v>لم تبدأ</v>
      </c>
      <c r="H124" s="33" t="str">
        <f aca="true">IF(F124&gt;=100,"مكتمل",IF(TODAY()&gt;INT(D124),"يستوجب المتابعة",IF(TODAY()&lt;INT(C124),"لم يحن موعده","ضمن مدته")))</f>
        <v>لم يحن موعده</v>
      </c>
      <c r="I124" s="33" t="s">
        <v>30</v>
      </c>
      <c r="J124" s="34" t="s">
        <v>341</v>
      </c>
      <c r="K124" s="34" t="s">
        <v>342</v>
      </c>
      <c r="L124" s="35" t="n">
        <f aca="true">IF(F124&gt;=100,"—",INT(D124)-TODAY())</f>
        <v>151</v>
      </c>
      <c r="M124" s="36" t="s">
        <v>239</v>
      </c>
    </row>
    <row r="125" customFormat="false" ht="21.75" hidden="true" customHeight="true" outlineLevel="3" collapsed="false">
      <c r="A125" s="28" t="s">
        <v>352</v>
      </c>
      <c r="B125" s="48" t="s">
        <v>353</v>
      </c>
      <c r="C125" s="30" t="n">
        <f aca="false">$G$3+35</f>
        <v>46406</v>
      </c>
      <c r="D125" s="30" t="n">
        <f aca="false">$G$3+41</f>
        <v>46412</v>
      </c>
      <c r="E125" s="31" t="n">
        <f aca="true">IF($I125="معلم",0,SUMPRODUCT((WEEKDAY(ROW(INDIRECT(INT($C125)&amp;":"&amp;INT($D125))),2)&lt;5)+(WEEKDAY(ROW(INDIRECT(INT($C125)&amp;":"&amp;INT($D125))),2)=7)))</f>
        <v>5</v>
      </c>
      <c r="F125" s="32" t="n">
        <v>0</v>
      </c>
      <c r="G125" s="33" t="str">
        <f aca="false">IF(F125&gt;=100,"مكتملة",IF(F125&gt;0,"قيد التنفيذ","لم تبدأ"))</f>
        <v>لم تبدأ</v>
      </c>
      <c r="H125" s="33" t="str">
        <f aca="true">IF(F125&gt;=100,"مكتمل",IF(TODAY()&gt;INT(D125),"يستوجب المتابعة",IF(TODAY()&lt;INT(C125),"لم يحن موعده","ضمن مدته")))</f>
        <v>لم يحن موعده</v>
      </c>
      <c r="I125" s="33" t="s">
        <v>30</v>
      </c>
      <c r="J125" s="34" t="s">
        <v>341</v>
      </c>
      <c r="K125" s="34" t="s">
        <v>342</v>
      </c>
      <c r="L125" s="35" t="n">
        <f aca="true">IF(F125&gt;=100,"—",INT(D125)-TODAY())</f>
        <v>152</v>
      </c>
      <c r="M125" s="36" t="s">
        <v>242</v>
      </c>
    </row>
    <row r="126" customFormat="false" ht="21.75" hidden="true" customHeight="true" outlineLevel="2" collapsed="true">
      <c r="A126" s="19" t="s">
        <v>354</v>
      </c>
      <c r="B126" s="46" t="s">
        <v>355</v>
      </c>
      <c r="C126" s="21" t="n">
        <f aca="false">MIN(C127,C128,C129,C130,C131)</f>
        <v>46371</v>
      </c>
      <c r="D126" s="21" t="n">
        <f aca="false">MAX(D127,D128,D129,D130,D131)</f>
        <v>46412</v>
      </c>
      <c r="E126" s="22" t="n">
        <f aca="true">IF($I126="معلم",0,SUMPRODUCT((WEEKDAY(ROW(INDIRECT(INT($C126)&amp;":"&amp;INT($D126))),2)&lt;5)+(WEEKDAY(ROW(INDIRECT(INT($C126)&amp;":"&amp;INT($D126))),2)=7)))</f>
        <v>30</v>
      </c>
      <c r="F126" s="23" t="n">
        <f aca="false">ROUND(AVERAGE(F127,F128,F129,F130,F131),0)</f>
        <v>0</v>
      </c>
      <c r="G126" s="24" t="str">
        <f aca="false">IF(F126&gt;=100,"مكتملة",IF(F126&gt;0,"قيد التنفيذ","لم تبدأ"))</f>
        <v>لم تبدأ</v>
      </c>
      <c r="H126" s="24" t="str">
        <f aca="true">IF(F126&gt;=100,"مكتمل",IF(TODAY()&gt;INT(D126),"يستوجب المتابعة",IF(TODAY()&lt;INT(C126),"لم يحن موعده","ضمن مدته")))</f>
        <v>لم يحن موعده</v>
      </c>
      <c r="I126" s="24" t="s">
        <v>30</v>
      </c>
      <c r="J126" s="25" t="s">
        <v>356</v>
      </c>
      <c r="K126" s="25" t="s">
        <v>46</v>
      </c>
      <c r="L126" s="26" t="n">
        <f aca="true">IF(F126&gt;=100,"—",INT(D126)-TODAY())</f>
        <v>152</v>
      </c>
      <c r="M126" s="47" t="s">
        <v>328</v>
      </c>
    </row>
    <row r="127" customFormat="false" ht="21.75" hidden="true" customHeight="true" outlineLevel="3" collapsed="false">
      <c r="A127" s="28" t="s">
        <v>357</v>
      </c>
      <c r="B127" s="48" t="s">
        <v>358</v>
      </c>
      <c r="C127" s="30" t="n">
        <f aca="false">$G$3</f>
        <v>46371</v>
      </c>
      <c r="D127" s="30" t="n">
        <f aca="false">$G$3+7</f>
        <v>46378</v>
      </c>
      <c r="E127" s="31" t="n">
        <f aca="true">IF($I127="معلم",0,SUMPRODUCT((WEEKDAY(ROW(INDIRECT(INT($C127)&amp;":"&amp;INT($D127))),2)&lt;5)+(WEEKDAY(ROW(INDIRECT(INT($C127)&amp;":"&amp;INT($D127))),2)=7)))</f>
        <v>6</v>
      </c>
      <c r="F127" s="32" t="n">
        <v>0</v>
      </c>
      <c r="G127" s="33" t="str">
        <f aca="false">IF(F127&gt;=100,"مكتملة",IF(F127&gt;0,"قيد التنفيذ","لم تبدأ"))</f>
        <v>لم تبدأ</v>
      </c>
      <c r="H127" s="33" t="str">
        <f aca="true">IF(F127&gt;=100,"مكتمل",IF(TODAY()&gt;INT(D127),"يستوجب المتابعة",IF(TODAY()&lt;INT(C127),"لم يحن موعده","ضمن مدته")))</f>
        <v>لم يحن موعده</v>
      </c>
      <c r="I127" s="33" t="s">
        <v>30</v>
      </c>
      <c r="J127" s="34" t="s">
        <v>356</v>
      </c>
      <c r="K127" s="34" t="s">
        <v>46</v>
      </c>
      <c r="L127" s="35" t="n">
        <f aca="true">IF(F127&gt;=100,"—",INT(D127)-TODAY())</f>
        <v>118</v>
      </c>
      <c r="M127" s="36" t="s">
        <v>230</v>
      </c>
    </row>
    <row r="128" customFormat="false" ht="21.75" hidden="true" customHeight="true" outlineLevel="3" collapsed="false">
      <c r="A128" s="28" t="s">
        <v>359</v>
      </c>
      <c r="B128" s="48" t="s">
        <v>360</v>
      </c>
      <c r="C128" s="30" t="n">
        <f aca="false">$G$3+2</f>
        <v>46373</v>
      </c>
      <c r="D128" s="30" t="n">
        <f aca="false">$G$3+9</f>
        <v>46380</v>
      </c>
      <c r="E128" s="31" t="n">
        <f aca="true">IF($I128="معلم",0,SUMPRODUCT((WEEKDAY(ROW(INDIRECT(INT($C128)&amp;":"&amp;INT($D128))),2)&lt;5)+(WEEKDAY(ROW(INDIRECT(INT($C128)&amp;":"&amp;INT($D128))),2)=7)))</f>
        <v>6</v>
      </c>
      <c r="F128" s="32" t="n">
        <v>0</v>
      </c>
      <c r="G128" s="33" t="str">
        <f aca="false">IF(F128&gt;=100,"مكتملة",IF(F128&gt;0,"قيد التنفيذ","لم تبدأ"))</f>
        <v>لم تبدأ</v>
      </c>
      <c r="H128" s="33" t="str">
        <f aca="true">IF(F128&gt;=100,"مكتمل",IF(TODAY()&gt;INT(D128),"يستوجب المتابعة",IF(TODAY()&lt;INT(C128),"لم يحن موعده","ضمن مدته")))</f>
        <v>لم يحن موعده</v>
      </c>
      <c r="I128" s="33" t="s">
        <v>30</v>
      </c>
      <c r="J128" s="34" t="s">
        <v>356</v>
      </c>
      <c r="K128" s="34" t="s">
        <v>46</v>
      </c>
      <c r="L128" s="35" t="n">
        <f aca="true">IF(F128&gt;=100,"—",INT(D128)-TODAY())</f>
        <v>120</v>
      </c>
      <c r="M128" s="36" t="s">
        <v>233</v>
      </c>
    </row>
    <row r="129" customFormat="false" ht="21.75" hidden="true" customHeight="true" outlineLevel="3" collapsed="false">
      <c r="A129" s="28" t="s">
        <v>361</v>
      </c>
      <c r="B129" s="48" t="s">
        <v>362</v>
      </c>
      <c r="C129" s="30" t="n">
        <f aca="false">$G$3+6</f>
        <v>46377</v>
      </c>
      <c r="D129" s="30" t="n">
        <f aca="false">$G$3+35</f>
        <v>46406</v>
      </c>
      <c r="E129" s="31" t="n">
        <f aca="true">IF($I129="معلم",0,SUMPRODUCT((WEEKDAY(ROW(INDIRECT(INT($C129)&amp;":"&amp;INT($D129))),2)&lt;5)+(WEEKDAY(ROW(INDIRECT(INT($C129)&amp;":"&amp;INT($D129))),2)=7)))</f>
        <v>22</v>
      </c>
      <c r="F129" s="32" t="n">
        <v>0</v>
      </c>
      <c r="G129" s="33" t="str">
        <f aca="false">IF(F129&gt;=100,"مكتملة",IF(F129&gt;0,"قيد التنفيذ","لم تبدأ"))</f>
        <v>لم تبدأ</v>
      </c>
      <c r="H129" s="33" t="str">
        <f aca="true">IF(F129&gt;=100,"مكتمل",IF(TODAY()&gt;INT(D129),"يستوجب المتابعة",IF(TODAY()&lt;INT(C129),"لم يحن موعده","ضمن مدته")))</f>
        <v>لم يحن موعده</v>
      </c>
      <c r="I129" s="33" t="s">
        <v>30</v>
      </c>
      <c r="J129" s="34" t="s">
        <v>356</v>
      </c>
      <c r="K129" s="34" t="s">
        <v>46</v>
      </c>
      <c r="L129" s="35" t="n">
        <f aca="true">IF(F129&gt;=100,"—",INT(D129)-TODAY())</f>
        <v>146</v>
      </c>
      <c r="M129" s="36" t="s">
        <v>236</v>
      </c>
    </row>
    <row r="130" customFormat="false" ht="21.75" hidden="true" customHeight="true" outlineLevel="3" collapsed="false">
      <c r="A130" s="28" t="s">
        <v>363</v>
      </c>
      <c r="B130" s="48" t="s">
        <v>364</v>
      </c>
      <c r="C130" s="30" t="n">
        <f aca="false">$G$3+14</f>
        <v>46385</v>
      </c>
      <c r="D130" s="30" t="n">
        <f aca="false">$G$3+40</f>
        <v>46411</v>
      </c>
      <c r="E130" s="31" t="n">
        <f aca="true">IF($I130="معلم",0,SUMPRODUCT((WEEKDAY(ROW(INDIRECT(INT($C130)&amp;":"&amp;INT($D130))),2)&lt;5)+(WEEKDAY(ROW(INDIRECT(INT($C130)&amp;":"&amp;INT($D130))),2)=7)))</f>
        <v>19</v>
      </c>
      <c r="F130" s="32" t="n">
        <v>0</v>
      </c>
      <c r="G130" s="33" t="str">
        <f aca="false">IF(F130&gt;=100,"مكتملة",IF(F130&gt;0,"قيد التنفيذ","لم تبدأ"))</f>
        <v>لم تبدأ</v>
      </c>
      <c r="H130" s="33" t="str">
        <f aca="true">IF(F130&gt;=100,"مكتمل",IF(TODAY()&gt;INT(D130),"يستوجب المتابعة",IF(TODAY()&lt;INT(C130),"لم يحن موعده","ضمن مدته")))</f>
        <v>لم يحن موعده</v>
      </c>
      <c r="I130" s="33" t="s">
        <v>30</v>
      </c>
      <c r="J130" s="34" t="s">
        <v>356</v>
      </c>
      <c r="K130" s="34" t="s">
        <v>46</v>
      </c>
      <c r="L130" s="35" t="n">
        <f aca="true">IF(F130&gt;=100,"—",INT(D130)-TODAY())</f>
        <v>151</v>
      </c>
      <c r="M130" s="36" t="s">
        <v>239</v>
      </c>
    </row>
    <row r="131" customFormat="false" ht="21.75" hidden="true" customHeight="true" outlineLevel="3" collapsed="false">
      <c r="A131" s="28" t="s">
        <v>365</v>
      </c>
      <c r="B131" s="48" t="s">
        <v>366</v>
      </c>
      <c r="C131" s="30" t="n">
        <f aca="false">$G$3+35</f>
        <v>46406</v>
      </c>
      <c r="D131" s="30" t="n">
        <f aca="false">$G$3+41</f>
        <v>46412</v>
      </c>
      <c r="E131" s="31" t="n">
        <f aca="true">IF($I131="معلم",0,SUMPRODUCT((WEEKDAY(ROW(INDIRECT(INT($C131)&amp;":"&amp;INT($D131))),2)&lt;5)+(WEEKDAY(ROW(INDIRECT(INT($C131)&amp;":"&amp;INT($D131))),2)=7)))</f>
        <v>5</v>
      </c>
      <c r="F131" s="32" t="n">
        <v>0</v>
      </c>
      <c r="G131" s="33" t="str">
        <f aca="false">IF(F131&gt;=100,"مكتملة",IF(F131&gt;0,"قيد التنفيذ","لم تبدأ"))</f>
        <v>لم تبدأ</v>
      </c>
      <c r="H131" s="33" t="str">
        <f aca="true">IF(F131&gt;=100,"مكتمل",IF(TODAY()&gt;INT(D131),"يستوجب المتابعة",IF(TODAY()&lt;INT(C131),"لم يحن موعده","ضمن مدته")))</f>
        <v>لم يحن موعده</v>
      </c>
      <c r="I131" s="33" t="s">
        <v>30</v>
      </c>
      <c r="J131" s="34" t="s">
        <v>356</v>
      </c>
      <c r="K131" s="34" t="s">
        <v>46</v>
      </c>
      <c r="L131" s="35" t="n">
        <f aca="true">IF(F131&gt;=100,"—",INT(D131)-TODAY())</f>
        <v>152</v>
      </c>
      <c r="M131" s="36" t="s">
        <v>242</v>
      </c>
    </row>
    <row r="132" customFormat="false" ht="21.75" hidden="true" customHeight="true" outlineLevel="2" collapsed="true">
      <c r="A132" s="19" t="s">
        <v>367</v>
      </c>
      <c r="B132" s="46" t="s">
        <v>368</v>
      </c>
      <c r="C132" s="21" t="n">
        <f aca="false">MIN(C133,C134,C135,C136,C137)</f>
        <v>46371</v>
      </c>
      <c r="D132" s="21" t="n">
        <f aca="false">MAX(D133,D134,D135,D136,D137)</f>
        <v>46391</v>
      </c>
      <c r="E132" s="22" t="n">
        <f aca="true">IF($I132="معلم",0,SUMPRODUCT((WEEKDAY(ROW(INDIRECT(INT($C132)&amp;":"&amp;INT($D132))),2)&lt;5)+(WEEKDAY(ROW(INDIRECT(INT($C132)&amp;":"&amp;INT($D132))),2)=7)))</f>
        <v>15</v>
      </c>
      <c r="F132" s="23" t="n">
        <f aca="false">ROUND(AVERAGE(F133,F134,F135,F136,F137),0)</f>
        <v>0</v>
      </c>
      <c r="G132" s="24" t="str">
        <f aca="false">IF(F132&gt;=100,"مكتملة",IF(F132&gt;0,"قيد التنفيذ","لم تبدأ"))</f>
        <v>لم تبدأ</v>
      </c>
      <c r="H132" s="24" t="str">
        <f aca="true">IF(F132&gt;=100,"مكتمل",IF(TODAY()&gt;INT(D132),"يستوجب المتابعة",IF(TODAY()&lt;INT(C132),"لم يحن موعده","ضمن مدته")))</f>
        <v>لم يحن موعده</v>
      </c>
      <c r="I132" s="24" t="s">
        <v>30</v>
      </c>
      <c r="J132" s="25" t="s">
        <v>369</v>
      </c>
      <c r="K132" s="25" t="s">
        <v>46</v>
      </c>
      <c r="L132" s="26" t="n">
        <f aca="true">IF(F132&gt;=100,"—",INT(D132)-TODAY())</f>
        <v>131</v>
      </c>
      <c r="M132" s="47" t="s">
        <v>370</v>
      </c>
    </row>
    <row r="133" customFormat="false" ht="21.75" hidden="true" customHeight="true" outlineLevel="3" collapsed="false">
      <c r="A133" s="28" t="s">
        <v>371</v>
      </c>
      <c r="B133" s="48" t="s">
        <v>372</v>
      </c>
      <c r="C133" s="30" t="n">
        <f aca="false">$G$3</f>
        <v>46371</v>
      </c>
      <c r="D133" s="30" t="n">
        <f aca="false">$G$3+2</f>
        <v>46373</v>
      </c>
      <c r="E133" s="31" t="n">
        <f aca="true">IF($I133="معلم",0,SUMPRODUCT((WEEKDAY(ROW(INDIRECT(INT($C133)&amp;":"&amp;INT($D133))),2)&lt;5)+(WEEKDAY(ROW(INDIRECT(INT($C133)&amp;":"&amp;INT($D133))),2)=7)))</f>
        <v>3</v>
      </c>
      <c r="F133" s="32" t="n">
        <v>0</v>
      </c>
      <c r="G133" s="33" t="str">
        <f aca="false">IF(F133&gt;=100,"مكتملة",IF(F133&gt;0,"قيد التنفيذ","لم تبدأ"))</f>
        <v>لم تبدأ</v>
      </c>
      <c r="H133" s="33" t="str">
        <f aca="true">IF(F133&gt;=100,"مكتمل",IF(TODAY()&gt;INT(D133),"يستوجب المتابعة",IF(TODAY()&lt;INT(C133),"لم يحن موعده","ضمن مدته")))</f>
        <v>لم يحن موعده</v>
      </c>
      <c r="I133" s="33" t="s">
        <v>30</v>
      </c>
      <c r="J133" s="34" t="s">
        <v>369</v>
      </c>
      <c r="K133" s="34" t="s">
        <v>46</v>
      </c>
      <c r="L133" s="35" t="n">
        <f aca="true">IF(F133&gt;=100,"—",INT(D133)-TODAY())</f>
        <v>113</v>
      </c>
      <c r="M133" s="36" t="s">
        <v>230</v>
      </c>
    </row>
    <row r="134" customFormat="false" ht="21.75" hidden="true" customHeight="true" outlineLevel="3" collapsed="false">
      <c r="A134" s="28" t="s">
        <v>373</v>
      </c>
      <c r="B134" s="48" t="s">
        <v>374</v>
      </c>
      <c r="C134" s="30" t="n">
        <f aca="false">$G$3+1</f>
        <v>46372</v>
      </c>
      <c r="D134" s="30" t="n">
        <f aca="false">$G$3+5</f>
        <v>46376</v>
      </c>
      <c r="E134" s="31" t="n">
        <f aca="true">IF($I134="معلم",0,SUMPRODUCT((WEEKDAY(ROW(INDIRECT(INT($C134)&amp;":"&amp;INT($D134))),2)&lt;5)+(WEEKDAY(ROW(INDIRECT(INT($C134)&amp;":"&amp;INT($D134))),2)=7)))</f>
        <v>3</v>
      </c>
      <c r="F134" s="32" t="n">
        <v>0</v>
      </c>
      <c r="G134" s="33" t="str">
        <f aca="false">IF(F134&gt;=100,"مكتملة",IF(F134&gt;0,"قيد التنفيذ","لم تبدأ"))</f>
        <v>لم تبدأ</v>
      </c>
      <c r="H134" s="33" t="str">
        <f aca="true">IF(F134&gt;=100,"مكتمل",IF(TODAY()&gt;INT(D134),"يستوجب المتابعة",IF(TODAY()&lt;INT(C134),"لم يحن موعده","ضمن مدته")))</f>
        <v>لم يحن موعده</v>
      </c>
      <c r="I134" s="33" t="s">
        <v>30</v>
      </c>
      <c r="J134" s="34" t="s">
        <v>369</v>
      </c>
      <c r="K134" s="34" t="s">
        <v>46</v>
      </c>
      <c r="L134" s="35" t="n">
        <f aca="true">IF(F134&gt;=100,"—",INT(D134)-TODAY())</f>
        <v>116</v>
      </c>
      <c r="M134" s="36" t="s">
        <v>233</v>
      </c>
    </row>
    <row r="135" customFormat="false" ht="21.75" hidden="true" customHeight="true" outlineLevel="3" collapsed="false">
      <c r="A135" s="28" t="s">
        <v>375</v>
      </c>
      <c r="B135" s="48" t="s">
        <v>376</v>
      </c>
      <c r="C135" s="30" t="n">
        <f aca="false">$G$3+2</f>
        <v>46373</v>
      </c>
      <c r="D135" s="30" t="n">
        <f aca="false">$G$3+16</f>
        <v>46387</v>
      </c>
      <c r="E135" s="31" t="n">
        <f aca="true">IF($I135="معلم",0,SUMPRODUCT((WEEKDAY(ROW(INDIRECT(INT($C135)&amp;":"&amp;INT($D135))),2)&lt;5)+(WEEKDAY(ROW(INDIRECT(INT($C135)&amp;":"&amp;INT($D135))),2)=7)))</f>
        <v>11</v>
      </c>
      <c r="F135" s="32" t="n">
        <v>0</v>
      </c>
      <c r="G135" s="33" t="str">
        <f aca="false">IF(F135&gt;=100,"مكتملة",IF(F135&gt;0,"قيد التنفيذ","لم تبدأ"))</f>
        <v>لم تبدأ</v>
      </c>
      <c r="H135" s="33" t="str">
        <f aca="true">IF(F135&gt;=100,"مكتمل",IF(TODAY()&gt;INT(D135),"يستوجب المتابعة",IF(TODAY()&lt;INT(C135),"لم يحن موعده","ضمن مدته")))</f>
        <v>لم يحن موعده</v>
      </c>
      <c r="I135" s="33" t="s">
        <v>30</v>
      </c>
      <c r="J135" s="34" t="s">
        <v>369</v>
      </c>
      <c r="K135" s="34" t="s">
        <v>46</v>
      </c>
      <c r="L135" s="35" t="n">
        <f aca="true">IF(F135&gt;=100,"—",INT(D135)-TODAY())</f>
        <v>127</v>
      </c>
      <c r="M135" s="36" t="s">
        <v>236</v>
      </c>
    </row>
    <row r="136" customFormat="false" ht="21.75" hidden="true" customHeight="true" outlineLevel="3" collapsed="false">
      <c r="A136" s="28" t="s">
        <v>377</v>
      </c>
      <c r="B136" s="48" t="s">
        <v>378</v>
      </c>
      <c r="C136" s="30" t="n">
        <f aca="false">$G$3+7</f>
        <v>46378</v>
      </c>
      <c r="D136" s="30" t="n">
        <f aca="false">$G$3+20</f>
        <v>46391</v>
      </c>
      <c r="E136" s="31" t="n">
        <f aca="true">IF($I136="معلم",0,SUMPRODUCT((WEEKDAY(ROW(INDIRECT(INT($C136)&amp;":"&amp;INT($D136))),2)&lt;5)+(WEEKDAY(ROW(INDIRECT(INT($C136)&amp;":"&amp;INT($D136))),2)=7)))</f>
        <v>10</v>
      </c>
      <c r="F136" s="32" t="n">
        <v>0</v>
      </c>
      <c r="G136" s="33" t="str">
        <f aca="false">IF(F136&gt;=100,"مكتملة",IF(F136&gt;0,"قيد التنفيذ","لم تبدأ"))</f>
        <v>لم تبدأ</v>
      </c>
      <c r="H136" s="33" t="str">
        <f aca="true">IF(F136&gt;=100,"مكتمل",IF(TODAY()&gt;INT(D136),"يستوجب المتابعة",IF(TODAY()&lt;INT(C136),"لم يحن موعده","ضمن مدته")))</f>
        <v>لم يحن موعده</v>
      </c>
      <c r="I136" s="33" t="s">
        <v>30</v>
      </c>
      <c r="J136" s="34" t="s">
        <v>369</v>
      </c>
      <c r="K136" s="34" t="s">
        <v>46</v>
      </c>
      <c r="L136" s="35" t="n">
        <f aca="true">IF(F136&gt;=100,"—",INT(D136)-TODAY())</f>
        <v>131</v>
      </c>
      <c r="M136" s="36" t="s">
        <v>239</v>
      </c>
    </row>
    <row r="137" customFormat="false" ht="21.75" hidden="true" customHeight="true" outlineLevel="3" collapsed="false">
      <c r="A137" s="28" t="s">
        <v>379</v>
      </c>
      <c r="B137" s="48" t="s">
        <v>380</v>
      </c>
      <c r="C137" s="30" t="n">
        <f aca="false">$G$3+16</f>
        <v>46387</v>
      </c>
      <c r="D137" s="30" t="n">
        <f aca="false">$G$3+20</f>
        <v>46391</v>
      </c>
      <c r="E137" s="31" t="n">
        <f aca="true">IF($I137="معلم",0,SUMPRODUCT((WEEKDAY(ROW(INDIRECT(INT($C137)&amp;":"&amp;INT($D137))),2)&lt;5)+(WEEKDAY(ROW(INDIRECT(INT($C137)&amp;":"&amp;INT($D137))),2)=7)))</f>
        <v>3</v>
      </c>
      <c r="F137" s="32" t="n">
        <v>0</v>
      </c>
      <c r="G137" s="33" t="str">
        <f aca="false">IF(F137&gt;=100,"مكتملة",IF(F137&gt;0,"قيد التنفيذ","لم تبدأ"))</f>
        <v>لم تبدأ</v>
      </c>
      <c r="H137" s="33" t="str">
        <f aca="true">IF(F137&gt;=100,"مكتمل",IF(TODAY()&gt;INT(D137),"يستوجب المتابعة",IF(TODAY()&lt;INT(C137),"لم يحن موعده","ضمن مدته")))</f>
        <v>لم يحن موعده</v>
      </c>
      <c r="I137" s="33" t="s">
        <v>30</v>
      </c>
      <c r="J137" s="34" t="s">
        <v>369</v>
      </c>
      <c r="K137" s="34" t="s">
        <v>46</v>
      </c>
      <c r="L137" s="35" t="n">
        <f aca="true">IF(F137&gt;=100,"—",INT(D137)-TODAY())</f>
        <v>131</v>
      </c>
      <c r="M137" s="36" t="s">
        <v>242</v>
      </c>
    </row>
    <row r="138" customFormat="false" ht="21.75" hidden="false" customHeight="true" outlineLevel="1" collapsed="false">
      <c r="A138" s="37" t="s">
        <v>381</v>
      </c>
      <c r="B138" s="38" t="s">
        <v>382</v>
      </c>
      <c r="C138" s="39" t="n">
        <f aca="false">$C$3</f>
        <v>46425</v>
      </c>
      <c r="D138" s="39" t="n">
        <f aca="false">$C$3</f>
        <v>46425</v>
      </c>
      <c r="E138" s="40" t="n">
        <f aca="true">IF($I138="معلم",0,SUMPRODUCT((WEEKDAY(ROW(INDIRECT(INT($C138)&amp;":"&amp;INT($D138))),2)&lt;5)+(WEEKDAY(ROW(INDIRECT(INT($C138)&amp;":"&amp;INT($D138))),2)=7)))</f>
        <v>0</v>
      </c>
      <c r="F138" s="41" t="n">
        <v>0</v>
      </c>
      <c r="G138" s="42" t="str">
        <f aca="false">IF(F138&gt;=100,"مكتملة",IF(F138&gt;0,"قيد التنفيذ","لم تبدأ"))</f>
        <v>لم تبدأ</v>
      </c>
      <c r="H138" s="42" t="str">
        <f aca="true">IF(F138&gt;=100,"مكتمل",IF(TODAY()&gt;INT(D138),"يستوجب المتابعة",IF(TODAY()&lt;INT(C138),"لم يحن موعده","ضمن مدته")))</f>
        <v>لم يحن موعده</v>
      </c>
      <c r="I138" s="42" t="s">
        <v>50</v>
      </c>
      <c r="J138" s="43" t="s">
        <v>341</v>
      </c>
      <c r="K138" s="43" t="s">
        <v>342</v>
      </c>
      <c r="L138" s="44" t="n">
        <f aca="true">IF(F138&gt;=100,"—",INT(D138)-TODAY())</f>
        <v>165</v>
      </c>
      <c r="M138" s="45" t="s">
        <v>383</v>
      </c>
    </row>
    <row r="139" customFormat="false" ht="21.75" hidden="false" customHeight="true" outlineLevel="1" collapsed="false">
      <c r="A139" s="28" t="s">
        <v>384</v>
      </c>
      <c r="B139" s="49" t="s">
        <v>385</v>
      </c>
      <c r="C139" s="30" t="n">
        <f aca="false">$G$3+42</f>
        <v>46413</v>
      </c>
      <c r="D139" s="30" t="n">
        <f aca="false">$D$3</f>
        <v>46477</v>
      </c>
      <c r="E139" s="31" t="n">
        <f aca="true">IF($I139="معلم",0,SUMPRODUCT((WEEKDAY(ROW(INDIRECT(INT($C139)&amp;":"&amp;INT($D139))),2)&lt;5)+(WEEKDAY(ROW(INDIRECT(INT($C139)&amp;":"&amp;INT($D139))),2)=7)))</f>
        <v>47</v>
      </c>
      <c r="F139" s="32" t="n">
        <v>0</v>
      </c>
      <c r="G139" s="33" t="str">
        <f aca="false">IF(F139&gt;=100,"مكتملة",IF(F139&gt;0,"قيد التنفيذ","لم تبدأ"))</f>
        <v>لم تبدأ</v>
      </c>
      <c r="H139" s="33" t="str">
        <f aca="true">IF(F139&gt;=100,"مكتمل",IF(TODAY()&gt;INT(D139),"يستوجب المتابعة",IF(TODAY()&lt;INT(C139),"لم يحن موعده","ضمن مدته")))</f>
        <v>لم يحن موعده</v>
      </c>
      <c r="I139" s="33" t="s">
        <v>30</v>
      </c>
      <c r="J139" s="34" t="s">
        <v>35</v>
      </c>
      <c r="K139" s="34" t="s">
        <v>32</v>
      </c>
      <c r="L139" s="35" t="n">
        <f aca="true">IF(F139&gt;=100,"—",INT(D139)-TODAY())</f>
        <v>217</v>
      </c>
      <c r="M139" s="36" t="s">
        <v>386</v>
      </c>
    </row>
    <row r="140" customFormat="false" ht="21.75" hidden="false" customHeight="true" outlineLevel="1" collapsed="false">
      <c r="A140" s="37" t="s">
        <v>387</v>
      </c>
      <c r="B140" s="38" t="s">
        <v>388</v>
      </c>
      <c r="C140" s="39" t="n">
        <f aca="false">$D$3</f>
        <v>46477</v>
      </c>
      <c r="D140" s="39" t="n">
        <f aca="false">$D$3</f>
        <v>46477</v>
      </c>
      <c r="E140" s="40" t="n">
        <f aca="true">IF($I140="معلم",0,SUMPRODUCT((WEEKDAY(ROW(INDIRECT(INT($C140)&amp;":"&amp;INT($D140))),2)&lt;5)+(WEEKDAY(ROW(INDIRECT(INT($C140)&amp;":"&amp;INT($D140))),2)=7)))</f>
        <v>0</v>
      </c>
      <c r="F140" s="41" t="n">
        <v>0</v>
      </c>
      <c r="G140" s="42" t="str">
        <f aca="false">IF(F140&gt;=100,"مكتملة",IF(F140&gt;0,"قيد التنفيذ","لم تبدأ"))</f>
        <v>لم تبدأ</v>
      </c>
      <c r="H140" s="42" t="str">
        <f aca="true">IF(F140&gt;=100,"مكتمل",IF(TODAY()&gt;INT(D140),"يستوجب المتابعة",IF(TODAY()&lt;INT(C140),"لم يحن موعده","ضمن مدته")))</f>
        <v>لم يحن موعده</v>
      </c>
      <c r="I140" s="42" t="s">
        <v>50</v>
      </c>
      <c r="J140" s="43" t="s">
        <v>31</v>
      </c>
      <c r="K140" s="43" t="s">
        <v>32</v>
      </c>
      <c r="L140" s="44" t="n">
        <f aca="true">IF(F140&gt;=100,"—",INT(D140)-TODAY())</f>
        <v>217</v>
      </c>
      <c r="M140" s="45" t="s">
        <v>389</v>
      </c>
    </row>
    <row r="141" customFormat="false" ht="25.5" hidden="false" customHeight="true" outlineLevel="0" collapsed="false">
      <c r="A141" s="11" t="s">
        <v>390</v>
      </c>
      <c r="B141" s="12" t="s">
        <v>391</v>
      </c>
      <c r="C141" s="13" t="n">
        <f aca="false">MIN(C142,C143,C144,C148,C149,C150)</f>
        <v>46478</v>
      </c>
      <c r="D141" s="13" t="n">
        <f aca="false">MAX(D142,D143,D144,D148,D149,D150)</f>
        <v>46524</v>
      </c>
      <c r="E141" s="14" t="n">
        <f aca="true">IF($I141="معلم",0,SUMPRODUCT((WEEKDAY(ROW(INDIRECT(INT($C141)&amp;":"&amp;INT($D141))),2)&lt;5)+(WEEKDAY(ROW(INDIRECT(INT($C141)&amp;":"&amp;INT($D141))),2)=7)))</f>
        <v>33</v>
      </c>
      <c r="F141" s="15" t="n">
        <f aca="false">ROUND(AVERAGE(F142,F143,F144,F148,F149,F150),0)</f>
        <v>0</v>
      </c>
      <c r="G141" s="16" t="str">
        <f aca="false">IF(F141&gt;=100,"مكتملة",IF(F141&gt;0,"قيد التنفيذ","لم تبدأ"))</f>
        <v>لم تبدأ</v>
      </c>
      <c r="H141" s="16" t="str">
        <f aca="true">IF(F141&gt;=100,"مكتمل",IF(TODAY()&gt;INT(D141),"يستوجب المتابعة",IF(TODAY()&lt;INT(C141),"لم يحن موعده","ضمن مدته")))</f>
        <v>لم يحن موعده</v>
      </c>
      <c r="I141" s="16" t="s">
        <v>30</v>
      </c>
      <c r="J141" s="17" t="s">
        <v>144</v>
      </c>
      <c r="K141" s="17" t="s">
        <v>46</v>
      </c>
      <c r="L141" s="18" t="n">
        <f aca="true">IF(F141&gt;=100,"—",INT(D141)-TODAY())</f>
        <v>264</v>
      </c>
      <c r="M141" s="12"/>
    </row>
    <row r="142" customFormat="false" ht="21.75" hidden="false" customHeight="true" outlineLevel="1" collapsed="false">
      <c r="A142" s="28" t="s">
        <v>392</v>
      </c>
      <c r="B142" s="49" t="s">
        <v>393</v>
      </c>
      <c r="C142" s="30" t="n">
        <f aca="false">$D$3+1</f>
        <v>46478</v>
      </c>
      <c r="D142" s="30" t="n">
        <f aca="false">$E$3</f>
        <v>46491</v>
      </c>
      <c r="E142" s="31" t="n">
        <f aca="true">IF($I142="معلم",0,SUMPRODUCT((WEEKDAY(ROW(INDIRECT(INT($C142)&amp;":"&amp;INT($D142))),2)&lt;5)+(WEEKDAY(ROW(INDIRECT(INT($C142)&amp;":"&amp;INT($D142))),2)=7)))</f>
        <v>10</v>
      </c>
      <c r="F142" s="32" t="n">
        <v>0</v>
      </c>
      <c r="G142" s="33" t="str">
        <f aca="false">IF(F142&gt;=100,"مكتملة",IF(F142&gt;0,"قيد التنفيذ","لم تبدأ"))</f>
        <v>لم تبدأ</v>
      </c>
      <c r="H142" s="33" t="str">
        <f aca="true">IF(F142&gt;=100,"مكتمل",IF(TODAY()&gt;INT(D142),"يستوجب المتابعة",IF(TODAY()&lt;INT(C142),"لم يحن موعده","ضمن مدته")))</f>
        <v>لم يحن موعده</v>
      </c>
      <c r="I142" s="33" t="s">
        <v>30</v>
      </c>
      <c r="J142" s="34" t="s">
        <v>217</v>
      </c>
      <c r="K142" s="34" t="s">
        <v>32</v>
      </c>
      <c r="L142" s="35" t="n">
        <f aca="true">IF(F142&gt;=100,"—",INT(D142)-TODAY())</f>
        <v>231</v>
      </c>
      <c r="M142" s="36" t="s">
        <v>394</v>
      </c>
    </row>
    <row r="143" customFormat="false" ht="21.75" hidden="false" customHeight="true" outlineLevel="1" collapsed="false">
      <c r="A143" s="37" t="s">
        <v>395</v>
      </c>
      <c r="B143" s="38" t="s">
        <v>396</v>
      </c>
      <c r="C143" s="39" t="n">
        <f aca="false">$E$3</f>
        <v>46491</v>
      </c>
      <c r="D143" s="39" t="n">
        <f aca="false">$E$3</f>
        <v>46491</v>
      </c>
      <c r="E143" s="40" t="n">
        <f aca="true">IF($I143="معلم",0,SUMPRODUCT((WEEKDAY(ROW(INDIRECT(INT($C143)&amp;":"&amp;INT($D143))),2)&lt;5)+(WEEKDAY(ROW(INDIRECT(INT($C143)&amp;":"&amp;INT($D143))),2)=7)))</f>
        <v>0</v>
      </c>
      <c r="F143" s="41" t="n">
        <v>0</v>
      </c>
      <c r="G143" s="42" t="str">
        <f aca="false">IF(F143&gt;=100,"مكتملة",IF(F143&gt;0,"قيد التنفيذ","لم تبدأ"))</f>
        <v>لم تبدأ</v>
      </c>
      <c r="H143" s="42" t="str">
        <f aca="true">IF(F143&gt;=100,"مكتمل",IF(TODAY()&gt;INT(D143),"يستوجب المتابعة",IF(TODAY()&lt;INT(C143),"لم يحن موعده","ضمن مدته")))</f>
        <v>لم يحن موعده</v>
      </c>
      <c r="I143" s="42" t="s">
        <v>50</v>
      </c>
      <c r="J143" s="43" t="s">
        <v>31</v>
      </c>
      <c r="K143" s="43" t="s">
        <v>397</v>
      </c>
      <c r="L143" s="44" t="n">
        <f aca="true">IF(F143&gt;=100,"—",INT(D143)-TODAY())</f>
        <v>231</v>
      </c>
      <c r="M143" s="45" t="s">
        <v>398</v>
      </c>
    </row>
    <row r="144" customFormat="false" ht="21.75" hidden="false" customHeight="true" outlineLevel="1" collapsed="true">
      <c r="A144" s="19" t="s">
        <v>399</v>
      </c>
      <c r="B144" s="20" t="s">
        <v>400</v>
      </c>
      <c r="C144" s="21" t="n">
        <f aca="false">MIN(C145,C146,C147)</f>
        <v>46492</v>
      </c>
      <c r="D144" s="21" t="n">
        <f aca="false">MAX(D145,D146,D147)</f>
        <v>46506</v>
      </c>
      <c r="E144" s="22" t="n">
        <f aca="true">IF($I144="معلم",0,SUMPRODUCT((WEEKDAY(ROW(INDIRECT(INT($C144)&amp;":"&amp;INT($D144))),2)&lt;5)+(WEEKDAY(ROW(INDIRECT(INT($C144)&amp;":"&amp;INT($D144))),2)=7)))</f>
        <v>11</v>
      </c>
      <c r="F144" s="23" t="n">
        <f aca="false">ROUND(AVERAGE(F145,F146,F147),0)</f>
        <v>0</v>
      </c>
      <c r="G144" s="24" t="str">
        <f aca="false">IF(F144&gt;=100,"مكتملة",IF(F144&gt;0,"قيد التنفيذ","لم تبدأ"))</f>
        <v>لم تبدأ</v>
      </c>
      <c r="H144" s="24" t="str">
        <f aca="true">IF(F144&gt;=100,"مكتمل",IF(TODAY()&gt;INT(D144),"يستوجب المتابعة",IF(TODAY()&lt;INT(C144),"لم يحن موعده","ضمن مدته")))</f>
        <v>لم يحن موعده</v>
      </c>
      <c r="I144" s="24" t="s">
        <v>30</v>
      </c>
      <c r="J144" s="25" t="s">
        <v>144</v>
      </c>
      <c r="K144" s="25" t="s">
        <v>46</v>
      </c>
      <c r="L144" s="26" t="n">
        <f aca="true">IF(F144&gt;=100,"—",INT(D144)-TODAY())</f>
        <v>246</v>
      </c>
      <c r="M144" s="27"/>
    </row>
    <row r="145" customFormat="false" ht="21.75" hidden="true" customHeight="true" outlineLevel="2" collapsed="false">
      <c r="A145" s="28" t="s">
        <v>401</v>
      </c>
      <c r="B145" s="29" t="s">
        <v>402</v>
      </c>
      <c r="C145" s="30" t="n">
        <f aca="false">$E$3+1</f>
        <v>46492</v>
      </c>
      <c r="D145" s="30" t="n">
        <f aca="false">$B$3-24</f>
        <v>46498</v>
      </c>
      <c r="E145" s="31" t="n">
        <f aca="true">IF($I145="معلم",0,SUMPRODUCT((WEEKDAY(ROW(INDIRECT(INT($C145)&amp;":"&amp;INT($D145))),2)&lt;5)+(WEEKDAY(ROW(INDIRECT(INT($C145)&amp;":"&amp;INT($D145))),2)=7)))</f>
        <v>5</v>
      </c>
      <c r="F145" s="32" t="n">
        <v>0</v>
      </c>
      <c r="G145" s="33" t="str">
        <f aca="false">IF(F145&gt;=100,"مكتملة",IF(F145&gt;0,"قيد التنفيذ","لم تبدأ"))</f>
        <v>لم تبدأ</v>
      </c>
      <c r="H145" s="33" t="str">
        <f aca="true">IF(F145&gt;=100,"مكتمل",IF(TODAY()&gt;INT(D145),"يستوجب المتابعة",IF(TODAY()&lt;INT(C145),"لم يحن موعده","ضمن مدته")))</f>
        <v>لم يحن موعده</v>
      </c>
      <c r="I145" s="33" t="s">
        <v>30</v>
      </c>
      <c r="J145" s="34" t="s">
        <v>144</v>
      </c>
      <c r="K145" s="34" t="s">
        <v>46</v>
      </c>
      <c r="L145" s="35" t="n">
        <f aca="true">IF(F145&gt;=100,"—",INT(D145)-TODAY())</f>
        <v>238</v>
      </c>
      <c r="M145" s="36"/>
    </row>
    <row r="146" customFormat="false" ht="21.75" hidden="true" customHeight="true" outlineLevel="2" collapsed="false">
      <c r="A146" s="28" t="s">
        <v>403</v>
      </c>
      <c r="B146" s="29" t="s">
        <v>404</v>
      </c>
      <c r="C146" s="30" t="n">
        <f aca="false">$B$3-27</f>
        <v>46495</v>
      </c>
      <c r="D146" s="30" t="n">
        <f aca="false">$B$3-20</f>
        <v>46502</v>
      </c>
      <c r="E146" s="31" t="n">
        <f aca="true">IF($I146="معلم",0,SUMPRODUCT((WEEKDAY(ROW(INDIRECT(INT($C146)&amp;":"&amp;INT($D146))),2)&lt;5)+(WEEKDAY(ROW(INDIRECT(INT($C146)&amp;":"&amp;INT($D146))),2)=7)))</f>
        <v>6</v>
      </c>
      <c r="F146" s="32" t="n">
        <v>0</v>
      </c>
      <c r="G146" s="33" t="str">
        <f aca="false">IF(F146&gt;=100,"مكتملة",IF(F146&gt;0,"قيد التنفيذ","لم تبدأ"))</f>
        <v>لم تبدأ</v>
      </c>
      <c r="H146" s="33" t="str">
        <f aca="true">IF(F146&gt;=100,"مكتمل",IF(TODAY()&gt;INT(D146),"يستوجب المتابعة",IF(TODAY()&lt;INT(C146),"لم يحن موعده","ضمن مدته")))</f>
        <v>لم يحن موعده</v>
      </c>
      <c r="I146" s="33" t="s">
        <v>30</v>
      </c>
      <c r="J146" s="34" t="s">
        <v>144</v>
      </c>
      <c r="K146" s="34" t="s">
        <v>32</v>
      </c>
      <c r="L146" s="35" t="n">
        <f aca="true">IF(F146&gt;=100,"—",INT(D146)-TODAY())</f>
        <v>242</v>
      </c>
      <c r="M146" s="36"/>
    </row>
    <row r="147" customFormat="false" ht="21.75" hidden="true" customHeight="true" outlineLevel="2" collapsed="false">
      <c r="A147" s="28" t="s">
        <v>405</v>
      </c>
      <c r="B147" s="29" t="s">
        <v>406</v>
      </c>
      <c r="C147" s="30" t="n">
        <f aca="false">$B$3-23</f>
        <v>46499</v>
      </c>
      <c r="D147" s="30" t="n">
        <f aca="false">$B$3-16</f>
        <v>46506</v>
      </c>
      <c r="E147" s="31" t="n">
        <f aca="true">IF($I147="معلم",0,SUMPRODUCT((WEEKDAY(ROW(INDIRECT(INT($C147)&amp;":"&amp;INT($D147))),2)&lt;5)+(WEEKDAY(ROW(INDIRECT(INT($C147)&amp;":"&amp;INT($D147))),2)=7)))</f>
        <v>6</v>
      </c>
      <c r="F147" s="32" t="n">
        <v>0</v>
      </c>
      <c r="G147" s="33" t="str">
        <f aca="false">IF(F147&gt;=100,"مكتملة",IF(F147&gt;0,"قيد التنفيذ","لم تبدأ"))</f>
        <v>لم تبدأ</v>
      </c>
      <c r="H147" s="33" t="str">
        <f aca="true">IF(F147&gt;=100,"مكتمل",IF(TODAY()&gt;INT(D147),"يستوجب المتابعة",IF(TODAY()&lt;INT(C147),"لم يحن موعده","ضمن مدته")))</f>
        <v>لم يحن موعده</v>
      </c>
      <c r="I147" s="33" t="s">
        <v>30</v>
      </c>
      <c r="J147" s="34" t="s">
        <v>144</v>
      </c>
      <c r="K147" s="34" t="s">
        <v>46</v>
      </c>
      <c r="L147" s="35" t="n">
        <f aca="true">IF(F147&gt;=100,"—",INT(D147)-TODAY())</f>
        <v>246</v>
      </c>
      <c r="M147" s="36"/>
    </row>
    <row r="148" customFormat="false" ht="21.75" hidden="false" customHeight="true" outlineLevel="1" collapsed="false">
      <c r="A148" s="37" t="s">
        <v>407</v>
      </c>
      <c r="B148" s="38" t="s">
        <v>408</v>
      </c>
      <c r="C148" s="39" t="n">
        <f aca="false">$B$3-16</f>
        <v>46506</v>
      </c>
      <c r="D148" s="39" t="n">
        <f aca="false">$B$3-16</f>
        <v>46506</v>
      </c>
      <c r="E148" s="40" t="n">
        <f aca="true">IF($I148="معلم",0,SUMPRODUCT((WEEKDAY(ROW(INDIRECT(INT($C148)&amp;":"&amp;INT($D148))),2)&lt;5)+(WEEKDAY(ROW(INDIRECT(INT($C148)&amp;":"&amp;INT($D148))),2)=7)))</f>
        <v>0</v>
      </c>
      <c r="F148" s="41" t="n">
        <v>0</v>
      </c>
      <c r="G148" s="42" t="str">
        <f aca="false">IF(F148&gt;=100,"مكتملة",IF(F148&gt;0,"قيد التنفيذ","لم تبدأ"))</f>
        <v>لم تبدأ</v>
      </c>
      <c r="H148" s="42" t="str">
        <f aca="true">IF(F148&gt;=100,"مكتمل",IF(TODAY()&gt;INT(D148),"يستوجب المتابعة",IF(TODAY()&lt;INT(C148),"لم يحن موعده","ضمن مدته")))</f>
        <v>لم يحن موعده</v>
      </c>
      <c r="I148" s="42" t="s">
        <v>50</v>
      </c>
      <c r="J148" s="43" t="s">
        <v>31</v>
      </c>
      <c r="K148" s="43" t="s">
        <v>51</v>
      </c>
      <c r="L148" s="44" t="n">
        <f aca="true">IF(F148&gt;=100,"—",INT(D148)-TODAY())</f>
        <v>246</v>
      </c>
      <c r="M148" s="45" t="s">
        <v>409</v>
      </c>
    </row>
    <row r="149" customFormat="false" ht="21.75" hidden="false" customHeight="true" outlineLevel="1" collapsed="false">
      <c r="A149" s="37" t="s">
        <v>410</v>
      </c>
      <c r="B149" s="38" t="s">
        <v>411</v>
      </c>
      <c r="C149" s="39" t="n">
        <f aca="false">$B$3-5</f>
        <v>46517</v>
      </c>
      <c r="D149" s="39" t="n">
        <f aca="false">$B$3-5</f>
        <v>46517</v>
      </c>
      <c r="E149" s="40" t="n">
        <f aca="true">IF($I149="معلم",0,SUMPRODUCT((WEEKDAY(ROW(INDIRECT(INT($C149)&amp;":"&amp;INT($D149))),2)&lt;5)+(WEEKDAY(ROW(INDIRECT(INT($C149)&amp;":"&amp;INT($D149))),2)=7)))</f>
        <v>0</v>
      </c>
      <c r="F149" s="41" t="n">
        <v>0</v>
      </c>
      <c r="G149" s="42" t="str">
        <f aca="false">IF(F149&gt;=100,"مكتملة",IF(F149&gt;0,"قيد التنفيذ","لم تبدأ"))</f>
        <v>لم تبدأ</v>
      </c>
      <c r="H149" s="42" t="str">
        <f aca="true">IF(F149&gt;=100,"مكتمل",IF(TODAY()&gt;INT(D149),"يستوجب المتابعة",IF(TODAY()&lt;INT(C149),"لم يحن موعده","ضمن مدته")))</f>
        <v>لم يحن موعده</v>
      </c>
      <c r="I149" s="42" t="s">
        <v>50</v>
      </c>
      <c r="J149" s="43" t="s">
        <v>412</v>
      </c>
      <c r="K149" s="43" t="s">
        <v>163</v>
      </c>
      <c r="L149" s="44" t="n">
        <f aca="true">IF(F149&gt;=100,"—",INT(D149)-TODAY())</f>
        <v>257</v>
      </c>
      <c r="M149" s="45"/>
    </row>
    <row r="150" customFormat="false" ht="21.75" hidden="false" customHeight="true" outlineLevel="1" collapsed="true">
      <c r="A150" s="19" t="s">
        <v>413</v>
      </c>
      <c r="B150" s="20" t="s">
        <v>414</v>
      </c>
      <c r="C150" s="21" t="n">
        <f aca="false">MIN(C151,C152,C153,C154)</f>
        <v>46517</v>
      </c>
      <c r="D150" s="21" t="n">
        <f aca="false">MAX(D151,D152,D153,D154)</f>
        <v>46524</v>
      </c>
      <c r="E150" s="22" t="n">
        <f aca="true">IF($I150="معلم",0,SUMPRODUCT((WEEKDAY(ROW(INDIRECT(INT($C150)&amp;":"&amp;INT($D150))),2)&lt;5)+(WEEKDAY(ROW(INDIRECT(INT($C150)&amp;":"&amp;INT($D150))),2)=7)))</f>
        <v>6</v>
      </c>
      <c r="F150" s="23" t="n">
        <f aca="false">ROUND(AVERAGE(F151,F152,F153,F154),0)</f>
        <v>0</v>
      </c>
      <c r="G150" s="24" t="str">
        <f aca="false">IF(F150&gt;=100,"مكتملة",IF(F150&gt;0,"قيد التنفيذ","لم تبدأ"))</f>
        <v>لم تبدأ</v>
      </c>
      <c r="H150" s="24" t="str">
        <f aca="true">IF(F150&gt;=100,"مكتمل",IF(TODAY()&gt;INT(D150),"يستوجب المتابعة",IF(TODAY()&lt;INT(C150),"لم يحن موعده","ضمن مدته")))</f>
        <v>لم يحن موعده</v>
      </c>
      <c r="I150" s="24" t="s">
        <v>30</v>
      </c>
      <c r="J150" s="25" t="s">
        <v>412</v>
      </c>
      <c r="K150" s="25" t="s">
        <v>46</v>
      </c>
      <c r="L150" s="26" t="n">
        <f aca="true">IF(F150&gt;=100,"—",INT(D150)-TODAY())</f>
        <v>264</v>
      </c>
      <c r="M150" s="47" t="s">
        <v>415</v>
      </c>
    </row>
    <row r="151" customFormat="false" ht="21.75" hidden="true" customHeight="true" outlineLevel="2" collapsed="false">
      <c r="A151" s="28" t="s">
        <v>416</v>
      </c>
      <c r="B151" s="29" t="s">
        <v>417</v>
      </c>
      <c r="C151" s="30" t="n">
        <f aca="false">$B$3-5</f>
        <v>46517</v>
      </c>
      <c r="D151" s="30" t="n">
        <f aca="false">$B$3+2</f>
        <v>46524</v>
      </c>
      <c r="E151" s="31" t="n">
        <f aca="true">IF($I151="معلم",0,SUMPRODUCT((WEEKDAY(ROW(INDIRECT(INT($C151)&amp;":"&amp;INT($D151))),2)&lt;5)+(WEEKDAY(ROW(INDIRECT(INT($C151)&amp;":"&amp;INT($D151))),2)=7)))</f>
        <v>6</v>
      </c>
      <c r="F151" s="32" t="n">
        <v>0</v>
      </c>
      <c r="G151" s="33" t="str">
        <f aca="false">IF(F151&gt;=100,"مكتملة",IF(F151&gt;0,"قيد التنفيذ","لم تبدأ"))</f>
        <v>لم تبدأ</v>
      </c>
      <c r="H151" s="33" t="str">
        <f aca="true">IF(F151&gt;=100,"مكتمل",IF(TODAY()&gt;INT(D151),"يستوجب المتابعة",IF(TODAY()&lt;INT(C151),"لم يحن موعده","ضمن مدته")))</f>
        <v>لم يحن موعده</v>
      </c>
      <c r="I151" s="33" t="s">
        <v>30</v>
      </c>
      <c r="J151" s="34" t="s">
        <v>412</v>
      </c>
      <c r="K151" s="34" t="s">
        <v>32</v>
      </c>
      <c r="L151" s="35" t="n">
        <f aca="true">IF(F151&gt;=100,"—",INT(D151)-TODAY())</f>
        <v>264</v>
      </c>
      <c r="M151" s="36" t="s">
        <v>418</v>
      </c>
    </row>
    <row r="152" customFormat="false" ht="21.75" hidden="true" customHeight="true" outlineLevel="2" collapsed="false">
      <c r="A152" s="28" t="s">
        <v>419</v>
      </c>
      <c r="B152" s="29" t="s">
        <v>420</v>
      </c>
      <c r="C152" s="30" t="n">
        <f aca="false">$B$3-5</f>
        <v>46517</v>
      </c>
      <c r="D152" s="30" t="n">
        <f aca="false">$B$3+2</f>
        <v>46524</v>
      </c>
      <c r="E152" s="31" t="n">
        <f aca="true">IF($I152="معلم",0,SUMPRODUCT((WEEKDAY(ROW(INDIRECT(INT($C152)&amp;":"&amp;INT($D152))),2)&lt;5)+(WEEKDAY(ROW(INDIRECT(INT($C152)&amp;":"&amp;INT($D152))),2)=7)))</f>
        <v>6</v>
      </c>
      <c r="F152" s="32" t="n">
        <v>0</v>
      </c>
      <c r="G152" s="33" t="str">
        <f aca="false">IF(F152&gt;=100,"مكتملة",IF(F152&gt;0,"قيد التنفيذ","لم تبدأ"))</f>
        <v>لم تبدأ</v>
      </c>
      <c r="H152" s="33" t="str">
        <f aca="true">IF(F152&gt;=100,"مكتمل",IF(TODAY()&gt;INT(D152),"يستوجب المتابعة",IF(TODAY()&lt;INT(C152),"لم يحن موعده","ضمن مدته")))</f>
        <v>لم يحن موعده</v>
      </c>
      <c r="I152" s="33" t="s">
        <v>30</v>
      </c>
      <c r="J152" s="34" t="s">
        <v>412</v>
      </c>
      <c r="K152" s="34" t="s">
        <v>32</v>
      </c>
      <c r="L152" s="35" t="n">
        <f aca="true">IF(F152&gt;=100,"—",INT(D152)-TODAY())</f>
        <v>264</v>
      </c>
      <c r="M152" s="36" t="s">
        <v>421</v>
      </c>
    </row>
    <row r="153" customFormat="false" ht="21.75" hidden="true" customHeight="true" outlineLevel="2" collapsed="false">
      <c r="A153" s="28" t="s">
        <v>422</v>
      </c>
      <c r="B153" s="29" t="s">
        <v>423</v>
      </c>
      <c r="C153" s="30" t="n">
        <f aca="false">$B$3-5</f>
        <v>46517</v>
      </c>
      <c r="D153" s="30" t="n">
        <f aca="false">$B$3+2</f>
        <v>46524</v>
      </c>
      <c r="E153" s="31" t="n">
        <f aca="true">IF($I153="معلم",0,SUMPRODUCT((WEEKDAY(ROW(INDIRECT(INT($C153)&amp;":"&amp;INT($D153))),2)&lt;5)+(WEEKDAY(ROW(INDIRECT(INT($C153)&amp;":"&amp;INT($D153))),2)=7)))</f>
        <v>6</v>
      </c>
      <c r="F153" s="32" t="n">
        <v>0</v>
      </c>
      <c r="G153" s="33" t="str">
        <f aca="false">IF(F153&gt;=100,"مكتملة",IF(F153&gt;0,"قيد التنفيذ","لم تبدأ"))</f>
        <v>لم تبدأ</v>
      </c>
      <c r="H153" s="33" t="str">
        <f aca="true">IF(F153&gt;=100,"مكتمل",IF(TODAY()&gt;INT(D153),"يستوجب المتابعة",IF(TODAY()&lt;INT(C153),"لم يحن موعده","ضمن مدته")))</f>
        <v>لم يحن موعده</v>
      </c>
      <c r="I153" s="33" t="s">
        <v>30</v>
      </c>
      <c r="J153" s="34" t="s">
        <v>412</v>
      </c>
      <c r="K153" s="34" t="s">
        <v>46</v>
      </c>
      <c r="L153" s="35" t="n">
        <f aca="true">IF(F153&gt;=100,"—",INT(D153)-TODAY())</f>
        <v>264</v>
      </c>
      <c r="M153" s="36"/>
    </row>
    <row r="154" customFormat="false" ht="21.75" hidden="true" customHeight="true" outlineLevel="2" collapsed="false">
      <c r="A154" s="28" t="s">
        <v>424</v>
      </c>
      <c r="B154" s="29" t="s">
        <v>425</v>
      </c>
      <c r="C154" s="30" t="n">
        <f aca="false">$B$3-5</f>
        <v>46517</v>
      </c>
      <c r="D154" s="30" t="n">
        <f aca="false">$B$3+2</f>
        <v>46524</v>
      </c>
      <c r="E154" s="31" t="n">
        <f aca="true">IF($I154="معلم",0,SUMPRODUCT((WEEKDAY(ROW(INDIRECT(INT($C154)&amp;":"&amp;INT($D154))),2)&lt;5)+(WEEKDAY(ROW(INDIRECT(INT($C154)&amp;":"&amp;INT($D154))),2)=7)))</f>
        <v>6</v>
      </c>
      <c r="F154" s="32" t="n">
        <v>0</v>
      </c>
      <c r="G154" s="33" t="str">
        <f aca="false">IF(F154&gt;=100,"مكتملة",IF(F154&gt;0,"قيد التنفيذ","لم تبدأ"))</f>
        <v>لم تبدأ</v>
      </c>
      <c r="H154" s="33" t="str">
        <f aca="true">IF(F154&gt;=100,"مكتمل",IF(TODAY()&gt;INT(D154),"يستوجب المتابعة",IF(TODAY()&lt;INT(C154),"لم يحن موعده","ضمن مدته")))</f>
        <v>لم يحن موعده</v>
      </c>
      <c r="I154" s="33" t="s">
        <v>30</v>
      </c>
      <c r="J154" s="34" t="s">
        <v>412</v>
      </c>
      <c r="K154" s="34" t="s">
        <v>32</v>
      </c>
      <c r="L154" s="35" t="n">
        <f aca="true">IF(F154&gt;=100,"—",INT(D154)-TODAY())</f>
        <v>264</v>
      </c>
      <c r="M154" s="36" t="s">
        <v>426</v>
      </c>
    </row>
    <row r="155" customFormat="false" ht="25.5" hidden="false" customHeight="true" outlineLevel="0" collapsed="false">
      <c r="A155" s="11" t="s">
        <v>427</v>
      </c>
      <c r="B155" s="12" t="s">
        <v>428</v>
      </c>
      <c r="C155" s="13" t="n">
        <f aca="false">MIN(C156,C157,C162,C163)</f>
        <v>46447</v>
      </c>
      <c r="D155" s="13" t="n">
        <f aca="false">MAX(D156,D157,D162,D163)</f>
        <v>46569</v>
      </c>
      <c r="E155" s="14" t="n">
        <f aca="true">IF($I155="معلم",0,SUMPRODUCT((WEEKDAY(ROW(INDIRECT(INT($C155)&amp;":"&amp;INT($D155))),2)&lt;5)+(WEEKDAY(ROW(INDIRECT(INT($C155)&amp;":"&amp;INT($D155))),2)=7)))</f>
        <v>89</v>
      </c>
      <c r="F155" s="15" t="n">
        <f aca="false">ROUND(AVERAGE(F156,F157,F162,F163),0)</f>
        <v>0</v>
      </c>
      <c r="G155" s="16" t="str">
        <f aca="false">IF(F155&gt;=100,"مكتملة",IF(F155&gt;0,"قيد التنفيذ","لم تبدأ"))</f>
        <v>لم تبدأ</v>
      </c>
      <c r="H155" s="16" t="str">
        <f aca="true">IF(F155&gt;=100,"مكتمل",IF(TODAY()&gt;INT(D155),"يستوجب المتابعة",IF(TODAY()&lt;INT(C155),"لم يحن موعده","ضمن مدته")))</f>
        <v>لم يحن موعده</v>
      </c>
      <c r="I155" s="16" t="s">
        <v>30</v>
      </c>
      <c r="J155" s="17" t="s">
        <v>57</v>
      </c>
      <c r="K155" s="17" t="s">
        <v>32</v>
      </c>
      <c r="L155" s="18" t="n">
        <f aca="true">IF(F155&gt;=100,"—",INT(D155)-TODAY())</f>
        <v>309</v>
      </c>
      <c r="M155" s="12"/>
    </row>
    <row r="156" customFormat="false" ht="21.75" hidden="false" customHeight="true" outlineLevel="1" collapsed="false">
      <c r="A156" s="28" t="s">
        <v>429</v>
      </c>
      <c r="B156" s="49" t="s">
        <v>430</v>
      </c>
      <c r="C156" s="30" t="n">
        <f aca="false">$D$3-30</f>
        <v>46447</v>
      </c>
      <c r="D156" s="30" t="n">
        <f aca="false">$D$3</f>
        <v>46477</v>
      </c>
      <c r="E156" s="31" t="n">
        <f aca="true">IF($I156="معلم",0,SUMPRODUCT((WEEKDAY(ROW(INDIRECT(INT($C156)&amp;":"&amp;INT($D156))),2)&lt;5)+(WEEKDAY(ROW(INDIRECT(INT($C156)&amp;":"&amp;INT($D156))),2)=7)))</f>
        <v>23</v>
      </c>
      <c r="F156" s="32" t="n">
        <v>0</v>
      </c>
      <c r="G156" s="33" t="str">
        <f aca="false">IF(F156&gt;=100,"مكتملة",IF(F156&gt;0,"قيد التنفيذ","لم تبدأ"))</f>
        <v>لم تبدأ</v>
      </c>
      <c r="H156" s="33" t="str">
        <f aca="true">IF(F156&gt;=100,"مكتمل",IF(TODAY()&gt;INT(D156),"يستوجب المتابعة",IF(TODAY()&lt;INT(C156),"لم يحن موعده","ضمن مدته")))</f>
        <v>لم يحن موعده</v>
      </c>
      <c r="I156" s="33" t="s">
        <v>30</v>
      </c>
      <c r="J156" s="34" t="s">
        <v>35</v>
      </c>
      <c r="K156" s="34" t="s">
        <v>431</v>
      </c>
      <c r="L156" s="35" t="n">
        <f aca="true">IF(F156&gt;=100,"—",INT(D156)-TODAY())</f>
        <v>217</v>
      </c>
      <c r="M156" s="36"/>
    </row>
    <row r="157" customFormat="false" ht="21.75" hidden="false" customHeight="true" outlineLevel="1" collapsed="true">
      <c r="A157" s="19" t="s">
        <v>432</v>
      </c>
      <c r="B157" s="20" t="s">
        <v>433</v>
      </c>
      <c r="C157" s="21" t="n">
        <f aca="false">MIN(C158,C159,C160,C161)</f>
        <v>46525</v>
      </c>
      <c r="D157" s="21" t="n">
        <f aca="false">MAX(D158,D159,D160,D161)</f>
        <v>46569</v>
      </c>
      <c r="E157" s="22" t="n">
        <f aca="true">IF($I157="معلم",0,SUMPRODUCT((WEEKDAY(ROW(INDIRECT(INT($C157)&amp;":"&amp;INT($D157))),2)&lt;5)+(WEEKDAY(ROW(INDIRECT(INT($C157)&amp;":"&amp;INT($D157))),2)=7)))</f>
        <v>33</v>
      </c>
      <c r="F157" s="23" t="n">
        <f aca="false">ROUND(AVERAGE(F158,F159,F160,F161),0)</f>
        <v>0</v>
      </c>
      <c r="G157" s="24" t="str">
        <f aca="false">IF(F157&gt;=100,"مكتملة",IF(F157&gt;0,"قيد التنفيذ","لم تبدأ"))</f>
        <v>لم تبدأ</v>
      </c>
      <c r="H157" s="24" t="str">
        <f aca="true">IF(F157&gt;=100,"مكتمل",IF(TODAY()&gt;INT(D157),"يستوجب المتابعة",IF(TODAY()&lt;INT(C157),"لم يحن موعده","ضمن مدته")))</f>
        <v>لم يحن موعده</v>
      </c>
      <c r="I157" s="24" t="s">
        <v>30</v>
      </c>
      <c r="J157" s="25" t="s">
        <v>57</v>
      </c>
      <c r="K157" s="25" t="s">
        <v>32</v>
      </c>
      <c r="L157" s="26" t="n">
        <f aca="true">IF(F157&gt;=100,"—",INT(D157)-TODAY())</f>
        <v>309</v>
      </c>
      <c r="M157" s="47" t="s">
        <v>434</v>
      </c>
    </row>
    <row r="158" customFormat="false" ht="21.75" hidden="true" customHeight="true" outlineLevel="2" collapsed="false">
      <c r="A158" s="28" t="s">
        <v>435</v>
      </c>
      <c r="B158" s="29" t="s">
        <v>436</v>
      </c>
      <c r="C158" s="30" t="n">
        <f aca="false">$B$3+3</f>
        <v>46525</v>
      </c>
      <c r="D158" s="30" t="n">
        <f aca="false">$B$3+28</f>
        <v>46550</v>
      </c>
      <c r="E158" s="31" t="n">
        <f aca="true">IF($I158="معلم",0,SUMPRODUCT((WEEKDAY(ROW(INDIRECT(INT($C158)&amp;":"&amp;INT($D158))),2)&lt;5)+(WEEKDAY(ROW(INDIRECT(INT($C158)&amp;":"&amp;INT($D158))),2)=7)))</f>
        <v>18</v>
      </c>
      <c r="F158" s="32" t="n">
        <v>0</v>
      </c>
      <c r="G158" s="33" t="str">
        <f aca="false">IF(F158&gt;=100,"مكتملة",IF(F158&gt;0,"قيد التنفيذ","لم تبدأ"))</f>
        <v>لم تبدأ</v>
      </c>
      <c r="H158" s="33" t="str">
        <f aca="true">IF(F158&gt;=100,"مكتمل",IF(TODAY()&gt;INT(D158),"يستوجب المتابعة",IF(TODAY()&lt;INT(C158),"لم يحن موعده","ضمن مدته")))</f>
        <v>لم يحن موعده</v>
      </c>
      <c r="I158" s="33" t="s">
        <v>30</v>
      </c>
      <c r="J158" s="34" t="s">
        <v>57</v>
      </c>
      <c r="K158" s="34" t="s">
        <v>32</v>
      </c>
      <c r="L158" s="35" t="n">
        <f aca="true">IF(F158&gt;=100,"—",INT(D158)-TODAY())</f>
        <v>290</v>
      </c>
      <c r="M158" s="36"/>
    </row>
    <row r="159" customFormat="false" ht="21.75" hidden="true" customHeight="true" outlineLevel="2" collapsed="false">
      <c r="A159" s="28" t="s">
        <v>437</v>
      </c>
      <c r="B159" s="29" t="s">
        <v>438</v>
      </c>
      <c r="C159" s="30" t="n">
        <f aca="false">$B$3+3</f>
        <v>46525</v>
      </c>
      <c r="D159" s="30" t="n">
        <f aca="false">$B$3+28</f>
        <v>46550</v>
      </c>
      <c r="E159" s="31" t="n">
        <f aca="true">IF($I159="معلم",0,SUMPRODUCT((WEEKDAY(ROW(INDIRECT(INT($C159)&amp;":"&amp;INT($D159))),2)&lt;5)+(WEEKDAY(ROW(INDIRECT(INT($C159)&amp;":"&amp;INT($D159))),2)=7)))</f>
        <v>18</v>
      </c>
      <c r="F159" s="32" t="n">
        <v>0</v>
      </c>
      <c r="G159" s="33" t="str">
        <f aca="false">IF(F159&gt;=100,"مكتملة",IF(F159&gt;0,"قيد التنفيذ","لم تبدأ"))</f>
        <v>لم تبدأ</v>
      </c>
      <c r="H159" s="33" t="str">
        <f aca="true">IF(F159&gt;=100,"مكتمل",IF(TODAY()&gt;INT(D159),"يستوجب المتابعة",IF(TODAY()&lt;INT(C159),"لم يحن موعده","ضمن مدته")))</f>
        <v>لم يحن موعده</v>
      </c>
      <c r="I159" s="33" t="s">
        <v>30</v>
      </c>
      <c r="J159" s="34" t="s">
        <v>57</v>
      </c>
      <c r="K159" s="34" t="s">
        <v>32</v>
      </c>
      <c r="L159" s="35" t="n">
        <f aca="true">IF(F159&gt;=100,"—",INT(D159)-TODAY())</f>
        <v>290</v>
      </c>
      <c r="M159" s="36"/>
    </row>
    <row r="160" customFormat="false" ht="21.75" hidden="true" customHeight="true" outlineLevel="2" collapsed="false">
      <c r="A160" s="28" t="s">
        <v>439</v>
      </c>
      <c r="B160" s="29" t="s">
        <v>440</v>
      </c>
      <c r="C160" s="30" t="n">
        <f aca="false">$B$3+10</f>
        <v>46532</v>
      </c>
      <c r="D160" s="30" t="n">
        <f aca="false">$B$3+40</f>
        <v>46562</v>
      </c>
      <c r="E160" s="31" t="n">
        <f aca="true">IF($I160="معلم",0,SUMPRODUCT((WEEKDAY(ROW(INDIRECT(INT($C160)&amp;":"&amp;INT($D160))),2)&lt;5)+(WEEKDAY(ROW(INDIRECT(INT($C160)&amp;":"&amp;INT($D160))),2)=7)))</f>
        <v>23</v>
      </c>
      <c r="F160" s="32" t="n">
        <v>0</v>
      </c>
      <c r="G160" s="33" t="str">
        <f aca="false">IF(F160&gt;=100,"مكتملة",IF(F160&gt;0,"قيد التنفيذ","لم تبدأ"))</f>
        <v>لم تبدأ</v>
      </c>
      <c r="H160" s="33" t="str">
        <f aca="true">IF(F160&gt;=100,"مكتمل",IF(TODAY()&gt;INT(D160),"يستوجب المتابعة",IF(TODAY()&lt;INT(C160),"لم يحن موعده","ضمن مدته")))</f>
        <v>لم يحن موعده</v>
      </c>
      <c r="I160" s="33" t="s">
        <v>30</v>
      </c>
      <c r="J160" s="34" t="s">
        <v>57</v>
      </c>
      <c r="K160" s="34" t="s">
        <v>32</v>
      </c>
      <c r="L160" s="35" t="n">
        <f aca="true">IF(F160&gt;=100,"—",INT(D160)-TODAY())</f>
        <v>302</v>
      </c>
      <c r="M160" s="36" t="s">
        <v>441</v>
      </c>
    </row>
    <row r="161" customFormat="false" ht="21.75" hidden="true" customHeight="true" outlineLevel="2" collapsed="false">
      <c r="A161" s="28" t="s">
        <v>442</v>
      </c>
      <c r="B161" s="29" t="s">
        <v>443</v>
      </c>
      <c r="C161" s="30" t="n">
        <f aca="false">$B$3+26</f>
        <v>46548</v>
      </c>
      <c r="D161" s="30" t="n">
        <f aca="false">$B$3+47</f>
        <v>46569</v>
      </c>
      <c r="E161" s="31" t="n">
        <f aca="true">IF($I161="معلم",0,SUMPRODUCT((WEEKDAY(ROW(INDIRECT(INT($C161)&amp;":"&amp;INT($D161))),2)&lt;5)+(WEEKDAY(ROW(INDIRECT(INT($C161)&amp;":"&amp;INT($D161))),2)=7)))</f>
        <v>16</v>
      </c>
      <c r="F161" s="32" t="n">
        <v>0</v>
      </c>
      <c r="G161" s="33" t="str">
        <f aca="false">IF(F161&gt;=100,"مكتملة",IF(F161&gt;0,"قيد التنفيذ","لم تبدأ"))</f>
        <v>لم تبدأ</v>
      </c>
      <c r="H161" s="33" t="str">
        <f aca="true">IF(F161&gt;=100,"مكتمل",IF(TODAY()&gt;INT(D161),"يستوجب المتابعة",IF(TODAY()&lt;INT(C161),"لم يحن موعده","ضمن مدته")))</f>
        <v>لم يحن موعده</v>
      </c>
      <c r="I161" s="33" t="s">
        <v>30</v>
      </c>
      <c r="J161" s="34" t="s">
        <v>57</v>
      </c>
      <c r="K161" s="34" t="s">
        <v>46</v>
      </c>
      <c r="L161" s="35" t="n">
        <f aca="true">IF(F161&gt;=100,"—",INT(D161)-TODAY())</f>
        <v>309</v>
      </c>
      <c r="M161" s="36"/>
    </row>
    <row r="162" customFormat="false" ht="21.75" hidden="false" customHeight="true" outlineLevel="1" collapsed="false">
      <c r="A162" s="28" t="s">
        <v>444</v>
      </c>
      <c r="B162" s="49" t="s">
        <v>445</v>
      </c>
      <c r="C162" s="30" t="n">
        <f aca="false">$B$3+17</f>
        <v>46539</v>
      </c>
      <c r="D162" s="30" t="n">
        <f aca="false">$B$3+47</f>
        <v>46569</v>
      </c>
      <c r="E162" s="31" t="n">
        <f aca="true">IF($I162="معلم",0,SUMPRODUCT((WEEKDAY(ROW(INDIRECT(INT($C162)&amp;":"&amp;INT($D162))),2)&lt;5)+(WEEKDAY(ROW(INDIRECT(INT($C162)&amp;":"&amp;INT($D162))),2)=7)))</f>
        <v>23</v>
      </c>
      <c r="F162" s="32" t="n">
        <v>0</v>
      </c>
      <c r="G162" s="33" t="str">
        <f aca="false">IF(F162&gt;=100,"مكتملة",IF(F162&gt;0,"قيد التنفيذ","لم تبدأ"))</f>
        <v>لم تبدأ</v>
      </c>
      <c r="H162" s="33" t="str">
        <f aca="true">IF(F162&gt;=100,"مكتمل",IF(TODAY()&gt;INT(D162),"يستوجب المتابعة",IF(TODAY()&lt;INT(C162),"لم يحن موعده","ضمن مدته")))</f>
        <v>لم يحن موعده</v>
      </c>
      <c r="I162" s="33" t="s">
        <v>30</v>
      </c>
      <c r="J162" s="34" t="s">
        <v>31</v>
      </c>
      <c r="K162" s="34" t="s">
        <v>46</v>
      </c>
      <c r="L162" s="35" t="n">
        <f aca="true">IF(F162&gt;=100,"—",INT(D162)-TODAY())</f>
        <v>309</v>
      </c>
      <c r="M162" s="36"/>
    </row>
    <row r="163" customFormat="false" ht="21.75" hidden="false" customHeight="true" outlineLevel="1" collapsed="false">
      <c r="A163" s="37" t="s">
        <v>446</v>
      </c>
      <c r="B163" s="38" t="s">
        <v>447</v>
      </c>
      <c r="C163" s="39" t="n">
        <f aca="false">$B$3+47</f>
        <v>46569</v>
      </c>
      <c r="D163" s="39" t="n">
        <f aca="false">$B$3+47</f>
        <v>46569</v>
      </c>
      <c r="E163" s="40" t="n">
        <f aca="true">IF($I163="معلم",0,SUMPRODUCT((WEEKDAY(ROW(INDIRECT(INT($C163)&amp;":"&amp;INT($D163))),2)&lt;5)+(WEEKDAY(ROW(INDIRECT(INT($C163)&amp;":"&amp;INT($D163))),2)=7)))</f>
        <v>0</v>
      </c>
      <c r="F163" s="41" t="n">
        <v>0</v>
      </c>
      <c r="G163" s="42" t="str">
        <f aca="false">IF(F163&gt;=100,"مكتملة",IF(F163&gt;0,"قيد التنفيذ","لم تبدأ"))</f>
        <v>لم تبدأ</v>
      </c>
      <c r="H163" s="42" t="str">
        <f aca="true">IF(F163&gt;=100,"مكتمل",IF(TODAY()&gt;INT(D163),"يستوجب المتابعة",IF(TODAY()&lt;INT(C163),"لم يحن موعده","ضمن مدته")))</f>
        <v>لم يحن موعده</v>
      </c>
      <c r="I163" s="42" t="s">
        <v>50</v>
      </c>
      <c r="J163" s="43" t="s">
        <v>31</v>
      </c>
      <c r="K163" s="43" t="s">
        <v>46</v>
      </c>
      <c r="L163" s="44" t="n">
        <f aca="true">IF(F163&gt;=100,"—",INT(D163)-TODAY())</f>
        <v>309</v>
      </c>
      <c r="M163" s="45"/>
    </row>
    <row r="165" customFormat="false" ht="15" hidden="false" customHeight="false" outlineLevel="0" collapsed="false">
      <c r="A165" s="50" t="s">
        <v>448</v>
      </c>
    </row>
    <row r="166" customFormat="false" ht="11.15" hidden="false" customHeight="false" outlineLevel="0" collapsed="false">
      <c r="A166" s="51" t="s">
        <v>449</v>
      </c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</row>
    <row r="167" customFormat="false" ht="11.15" hidden="false" customHeight="false" outlineLevel="0" collapsed="false">
      <c r="A167" s="51" t="s">
        <v>450</v>
      </c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</row>
    <row r="168" customFormat="false" ht="11.15" hidden="false" customHeight="false" outlineLevel="0" collapsed="false">
      <c r="A168" s="51" t="s">
        <v>451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</row>
    <row r="169" customFormat="false" ht="11.15" hidden="false" customHeight="false" outlineLevel="0" collapsed="false">
      <c r="A169" s="51" t="s">
        <v>452</v>
      </c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</row>
    <row r="170" customFormat="false" ht="11.15" hidden="false" customHeight="false" outlineLevel="0" collapsed="false">
      <c r="A170" s="51" t="s">
        <v>453</v>
      </c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</row>
    <row r="171" customFormat="false" ht="11.15" hidden="false" customHeight="false" outlineLevel="0" collapsed="false">
      <c r="A171" s="51" t="s">
        <v>454</v>
      </c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</row>
    <row r="172" customFormat="false" ht="11.15" hidden="false" customHeight="false" outlineLevel="0" collapsed="false">
      <c r="A172" s="51" t="s">
        <v>455</v>
      </c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</row>
    <row r="174" customFormat="false" ht="11.15" hidden="false" customHeight="false" outlineLevel="0" collapsed="false">
      <c r="A174" s="51" t="s">
        <v>456</v>
      </c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</row>
  </sheetData>
  <autoFilter ref="A5:M163"/>
  <mergeCells count="9">
    <mergeCell ref="A1:M1"/>
    <mergeCell ref="A166:M166"/>
    <mergeCell ref="A167:M167"/>
    <mergeCell ref="A168:M168"/>
    <mergeCell ref="A169:M169"/>
    <mergeCell ref="A170:M170"/>
    <mergeCell ref="A171:M171"/>
    <mergeCell ref="A172:M172"/>
    <mergeCell ref="A174:M174"/>
  </mergeCells>
  <conditionalFormatting sqref="F6:F163">
    <cfRule type="dataBar" priority="2">
      <dataBar showValue="1" minLength="10" maxLength="90">
        <cfvo type="num" val="0"/>
        <cfvo type="num" val="100"/>
        <color rgb="FF0E4C3F"/>
      </dataBar>
      <extLst>
        <ext xmlns:x14="http://schemas.microsoft.com/office/spreadsheetml/2009/9/main" uri="{B025F937-C7B1-47D3-B67F-A62EFF666E3E}">
          <x14:id>{198B8D51-3E3E-4F49-908E-DAA94C4B3CC2}</x14:id>
        </ext>
      </extLst>
    </cfRule>
  </conditionalFormatting>
  <conditionalFormatting sqref="G6:G163">
    <cfRule type="cellIs" priority="3" operator="equal" aboveAverage="0" equalAverage="0" bottom="0" percent="0" rank="0" text="" dxfId="15">
      <formula>"مكتملة"</formula>
    </cfRule>
    <cfRule type="cellIs" priority="4" operator="equal" aboveAverage="0" equalAverage="0" bottom="0" percent="0" rank="0" text="" dxfId="16">
      <formula>"قيد التنفيذ"</formula>
    </cfRule>
  </conditionalFormatting>
  <conditionalFormatting sqref="H6:H163">
    <cfRule type="cellIs" priority="5" operator="equal" aboveAverage="0" equalAverage="0" bottom="0" percent="0" rank="0" text="" dxfId="15">
      <formula>"مكتمل"</formula>
    </cfRule>
    <cfRule type="cellIs" priority="6" operator="equal" aboveAverage="0" equalAverage="0" bottom="0" percent="0" rank="0" text="" dxfId="17">
      <formula>"ضمن مدته"</formula>
    </cfRule>
    <cfRule type="cellIs" priority="7" operator="equal" aboveAverage="0" equalAverage="0" bottom="0" percent="0" rank="0" text="" dxfId="18">
      <formula>"يستوجب المتابعة"</formula>
    </cfRule>
    <cfRule type="cellIs" priority="8" operator="equal" aboveAverage="0" equalAverage="0" bottom="0" percent="0" rank="0" text="" dxfId="19">
      <formula>"لم يحن موعده"</formula>
    </cfRule>
  </conditionalFormatting>
  <conditionalFormatting sqref="L6:L163">
    <cfRule type="expression" priority="9" aboveAverage="0" equalAverage="0" bottom="0" percent="0" rank="0" text="" dxfId="17">
      <formula>AND(ISNUMBER(L6),L6&lt;=30,L6&gt;=0)</formula>
    </cfRule>
    <cfRule type="expression" priority="10" aboveAverage="0" equalAverage="0" bottom="0" percent="0" rank="0" text="" dxfId="18">
      <formula>AND(ISNUMBER(L6),L6&lt;0)</formula>
    </cfRule>
  </conditionalFormatting>
  <dataValidations count="1">
    <dataValidation allowBlank="true" error="أدخل نسبة إنجاز من 0 إلى 100" errorStyle="stop" errorTitle="قيمة غير صالحة" operator="between" showDropDown="false" showErrorMessage="false" showInputMessage="false" sqref="F8:F12 F14:F17 F20:F23 F25:F26 F28:F30 F33:F35 F38:F41 F43:F46 F48 F50:F54 F57:F60 F63:F68 F70 F73:F77 F79:F83 F85:F89 F91:F95 F97:F101 F103:F107 F109:F113 F115:F119 F121:F125 F127:F131 F133:F140 F142:F143 F145:F149 F151:F154 F156 F158:F163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8B8D51-3E3E-4F49-908E-DAA94C4B3CC2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0E4C3F"/>
              <x14:axisColor rgb="FF000000"/>
            </x14:dataBar>
          </x14:cfRule>
          <xm:sqref>F6:F163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2026-08-26T13:52:46Z</dcterms:created>
  <dc:creator>openpyxl</dc:creator>
  <dc:description/>
  <dc:language>en-US</dc:language>
  <cp:lastModifiedBy/>
  <dcterms:modified xsi:type="dcterms:W3CDTF">2026-08-26T13:52:46Z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